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ul\Desktop\BUSINESS PROJECT\DOCUMENTACION ESTRATEGICA MAGICA\"/>
    </mc:Choice>
  </mc:AlternateContent>
  <bookViews>
    <workbookView xWindow="-120" yWindow="-120" windowWidth="21840" windowHeight="13140" activeTab="1"/>
  </bookViews>
  <sheets>
    <sheet name="Balance General" sheetId="1" r:id="rId1"/>
    <sheet name="Estado de Resulta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" i="2" l="1"/>
  <c r="R12" i="2"/>
  <c r="R5" i="2"/>
  <c r="R3" i="2"/>
  <c r="D15" i="2"/>
  <c r="E15" i="2"/>
  <c r="F15" i="2"/>
  <c r="G15" i="2"/>
  <c r="K15" i="2"/>
  <c r="L15" i="2"/>
  <c r="H15" i="2"/>
  <c r="I15" i="2"/>
  <c r="J15" i="2"/>
  <c r="F31" i="1" l="1"/>
  <c r="F39" i="1"/>
  <c r="F40" i="1"/>
  <c r="F41" i="1"/>
  <c r="F42" i="1"/>
  <c r="F50" i="1"/>
  <c r="F56" i="1"/>
  <c r="F57" i="1"/>
  <c r="F58" i="1"/>
  <c r="F59" i="1"/>
  <c r="F60" i="1"/>
  <c r="F61" i="1"/>
  <c r="F62" i="1"/>
  <c r="F63" i="1"/>
  <c r="F88" i="1"/>
  <c r="E88" i="1"/>
  <c r="E56" i="1"/>
  <c r="E57" i="1"/>
  <c r="E58" i="1"/>
  <c r="E59" i="1"/>
  <c r="E60" i="1"/>
  <c r="E61" i="1"/>
  <c r="E62" i="1"/>
  <c r="E63" i="1"/>
  <c r="E50" i="1"/>
  <c r="E39" i="1"/>
  <c r="E40" i="1"/>
  <c r="E41" i="1"/>
  <c r="E42" i="1"/>
  <c r="E31" i="1"/>
  <c r="B90" i="1"/>
  <c r="Q18" i="2" l="1"/>
  <c r="Q13" i="2"/>
  <c r="Q14" i="2"/>
  <c r="Q12" i="2"/>
  <c r="Q8" i="2"/>
  <c r="Q5" i="2"/>
  <c r="Q3" i="2"/>
  <c r="N15" i="2"/>
  <c r="O15" i="2"/>
  <c r="P15" i="2"/>
  <c r="M15" i="2"/>
  <c r="C15" i="2"/>
  <c r="R15" i="2" s="1"/>
  <c r="K29" i="1"/>
  <c r="K28" i="1"/>
  <c r="K30" i="1" s="1"/>
  <c r="H30" i="1"/>
  <c r="L32" i="1"/>
  <c r="L30" i="1"/>
  <c r="F84" i="1"/>
  <c r="F80" i="1"/>
  <c r="F81" i="1"/>
  <c r="F53" i="1"/>
  <c r="F54" i="1"/>
  <c r="F55" i="1"/>
  <c r="F64" i="1"/>
  <c r="F65" i="1"/>
  <c r="F66" i="1"/>
  <c r="F67" i="1"/>
  <c r="F68" i="1"/>
  <c r="F69" i="1"/>
  <c r="F70" i="1"/>
  <c r="F71" i="1"/>
  <c r="F72" i="1"/>
  <c r="F73" i="1"/>
  <c r="F74" i="1"/>
  <c r="F75" i="1"/>
  <c r="F32" i="1"/>
  <c r="F33" i="1"/>
  <c r="F34" i="1"/>
  <c r="F35" i="1"/>
  <c r="F36" i="1"/>
  <c r="F37" i="1"/>
  <c r="F38" i="1"/>
  <c r="F43" i="1"/>
  <c r="F44" i="1"/>
  <c r="F45" i="1"/>
  <c r="F46" i="1"/>
  <c r="F47" i="1"/>
  <c r="F48" i="1"/>
  <c r="F49" i="1"/>
  <c r="F51" i="1"/>
  <c r="F52" i="1"/>
  <c r="F30" i="1"/>
  <c r="E84" i="1"/>
  <c r="E80" i="1"/>
  <c r="E81" i="1"/>
  <c r="E54" i="1"/>
  <c r="E55" i="1"/>
  <c r="E64" i="1"/>
  <c r="E65" i="1"/>
  <c r="E66" i="1"/>
  <c r="E67" i="1"/>
  <c r="E68" i="1"/>
  <c r="E69" i="1"/>
  <c r="E70" i="1"/>
  <c r="E71" i="1"/>
  <c r="E72" i="1"/>
  <c r="E73" i="1"/>
  <c r="E74" i="1"/>
  <c r="E75" i="1"/>
  <c r="E32" i="1"/>
  <c r="E33" i="1"/>
  <c r="E34" i="1"/>
  <c r="E35" i="1"/>
  <c r="E36" i="1"/>
  <c r="E37" i="1"/>
  <c r="E38" i="1"/>
  <c r="E43" i="1"/>
  <c r="E44" i="1"/>
  <c r="E45" i="1"/>
  <c r="E46" i="1"/>
  <c r="E47" i="1"/>
  <c r="E48" i="1"/>
  <c r="E49" i="1"/>
  <c r="E51" i="1"/>
  <c r="E52" i="1"/>
  <c r="E53" i="1"/>
  <c r="E30" i="1"/>
  <c r="H24" i="1" l="1"/>
  <c r="H27" i="1" s="1"/>
  <c r="H32" i="1" s="1"/>
  <c r="B26" i="2" l="1"/>
  <c r="L20" i="1"/>
  <c r="L21" i="1"/>
  <c r="L22" i="1"/>
  <c r="L23" i="1"/>
  <c r="L26" i="1"/>
  <c r="L28" i="1"/>
  <c r="L29" i="1"/>
  <c r="L19" i="1"/>
  <c r="F27" i="1"/>
  <c r="F20" i="1"/>
  <c r="F21" i="1"/>
  <c r="F22" i="1"/>
  <c r="F23" i="1"/>
  <c r="F24" i="1"/>
  <c r="F76" i="1"/>
  <c r="F77" i="1"/>
  <c r="F78" i="1"/>
  <c r="F79" i="1"/>
  <c r="F82" i="1"/>
  <c r="F83" i="1"/>
  <c r="F85" i="1"/>
  <c r="F86" i="1"/>
  <c r="F87" i="1"/>
  <c r="F89" i="1"/>
  <c r="K20" i="1" l="1"/>
  <c r="K19" i="1"/>
  <c r="K21" i="1"/>
  <c r="K26" i="1"/>
  <c r="K22" i="1"/>
  <c r="K23" i="1"/>
  <c r="L24" i="1"/>
  <c r="F90" i="1"/>
  <c r="D9" i="1"/>
  <c r="D8" i="1"/>
  <c r="D7" i="1"/>
  <c r="F19" i="1"/>
  <c r="D12" i="1" l="1"/>
  <c r="K24" i="1"/>
  <c r="B15" i="2"/>
  <c r="Q15" i="2" l="1"/>
  <c r="K27" i="1"/>
  <c r="K32" i="1"/>
  <c r="B35" i="2"/>
  <c r="B28" i="2"/>
  <c r="B25" i="1"/>
  <c r="D4" i="1" s="1"/>
  <c r="B36" i="2" l="1"/>
  <c r="B91" i="1"/>
  <c r="P6" i="2" l="1"/>
  <c r="P7" i="2" s="1"/>
  <c r="L6" i="2"/>
  <c r="L7" i="2" s="1"/>
  <c r="L9" i="2" s="1"/>
  <c r="L10" i="2" s="1"/>
  <c r="L16" i="2" s="1"/>
  <c r="L20" i="2" s="1"/>
  <c r="I6" i="2"/>
  <c r="I7" i="2" s="1"/>
  <c r="I9" i="2" s="1"/>
  <c r="I10" i="2" s="1"/>
  <c r="I16" i="2" s="1"/>
  <c r="I20" i="2" s="1"/>
  <c r="E6" i="2"/>
  <c r="E7" i="2" s="1"/>
  <c r="E9" i="2" s="1"/>
  <c r="E10" i="2" s="1"/>
  <c r="E16" i="2" s="1"/>
  <c r="E20" i="2" s="1"/>
  <c r="G6" i="2"/>
  <c r="G7" i="2" s="1"/>
  <c r="G9" i="2" s="1"/>
  <c r="G10" i="2" s="1"/>
  <c r="G16" i="2" s="1"/>
  <c r="G20" i="2" s="1"/>
  <c r="H6" i="2"/>
  <c r="H7" i="2" s="1"/>
  <c r="H9" i="2" s="1"/>
  <c r="H10" i="2" s="1"/>
  <c r="H16" i="2" s="1"/>
  <c r="H20" i="2" s="1"/>
  <c r="D6" i="2"/>
  <c r="D7" i="2" s="1"/>
  <c r="D9" i="2" s="1"/>
  <c r="D10" i="2" s="1"/>
  <c r="D16" i="2" s="1"/>
  <c r="D20" i="2" s="1"/>
  <c r="K6" i="2"/>
  <c r="K7" i="2" s="1"/>
  <c r="K9" i="2" s="1"/>
  <c r="K10" i="2" s="1"/>
  <c r="K16" i="2" s="1"/>
  <c r="K20" i="2" s="1"/>
  <c r="J6" i="2"/>
  <c r="J7" i="2" s="1"/>
  <c r="J9" i="2" s="1"/>
  <c r="J10" i="2" s="1"/>
  <c r="J16" i="2" s="1"/>
  <c r="J20" i="2" s="1"/>
  <c r="F6" i="2"/>
  <c r="F7" i="2" s="1"/>
  <c r="F9" i="2" s="1"/>
  <c r="F10" i="2" s="1"/>
  <c r="F16" i="2" s="1"/>
  <c r="F20" i="2" s="1"/>
  <c r="M6" i="2"/>
  <c r="M7" i="2" s="1"/>
  <c r="C6" i="2"/>
  <c r="N6" i="2"/>
  <c r="O6" i="2"/>
  <c r="O7" i="2" s="1"/>
  <c r="O9" i="2" s="1"/>
  <c r="O10" i="2" s="1"/>
  <c r="P9" i="2"/>
  <c r="P10" i="2" s="1"/>
  <c r="B6" i="2"/>
  <c r="F25" i="1"/>
  <c r="C7" i="2" l="1"/>
  <c r="R6" i="2"/>
  <c r="B7" i="2"/>
  <c r="Q6" i="2"/>
  <c r="P16" i="2"/>
  <c r="P20" i="2" s="1"/>
  <c r="O16" i="2"/>
  <c r="O20" i="2" s="1"/>
  <c r="M9" i="2"/>
  <c r="N7" i="2"/>
  <c r="N9" i="2" s="1"/>
  <c r="E27" i="1"/>
  <c r="D6" i="1"/>
  <c r="D10" i="1"/>
  <c r="F91" i="1"/>
  <c r="E78" i="1"/>
  <c r="E83" i="1"/>
  <c r="E89" i="1"/>
  <c r="E22" i="1"/>
  <c r="E79" i="1"/>
  <c r="E85" i="1"/>
  <c r="E76" i="1"/>
  <c r="E23" i="1"/>
  <c r="E86" i="1"/>
  <c r="E20" i="1"/>
  <c r="E24" i="1"/>
  <c r="E77" i="1"/>
  <c r="E82" i="1"/>
  <c r="E87" i="1"/>
  <c r="E21" i="1"/>
  <c r="E19" i="1"/>
  <c r="C9" i="2" l="1"/>
  <c r="R7" i="2"/>
  <c r="B9" i="2"/>
  <c r="Q7" i="2"/>
  <c r="M10" i="2"/>
  <c r="M16" i="2" s="1"/>
  <c r="N10" i="2"/>
  <c r="N16" i="2" s="1"/>
  <c r="E25" i="1"/>
  <c r="E90" i="1"/>
  <c r="R9" i="2" l="1"/>
  <c r="C10" i="2"/>
  <c r="B10" i="2"/>
  <c r="Q9" i="2"/>
  <c r="E91" i="1"/>
  <c r="R10" i="2" l="1"/>
  <c r="C16" i="2"/>
  <c r="B16" i="2"/>
  <c r="Q10" i="2"/>
  <c r="M20" i="2"/>
  <c r="N20" i="2"/>
  <c r="R16" i="2" l="1"/>
  <c r="C20" i="2"/>
  <c r="B20" i="2"/>
  <c r="Q20" i="2" s="1"/>
  <c r="Q16" i="2"/>
  <c r="D15" i="1"/>
  <c r="D14" i="1"/>
  <c r="R20" i="2" l="1"/>
</calcChain>
</file>

<file path=xl/sharedStrings.xml><?xml version="1.0" encoding="utf-8"?>
<sst xmlns="http://schemas.openxmlformats.org/spreadsheetml/2006/main" count="166" uniqueCount="142">
  <si>
    <t>Depreciacion[Accumulated Depreciation]</t>
  </si>
  <si>
    <t>MES ACTUAL</t>
  </si>
  <si>
    <t>MES ANTERIOR</t>
  </si>
  <si>
    <t>Total De Pasivo Circulante[Current Liabilities]</t>
  </si>
  <si>
    <t>Credito a Largo Plazo[Long Term Debt]</t>
  </si>
  <si>
    <t>Gastos de Operación</t>
  </si>
  <si>
    <t>Impuestos a la Utilidad[Income Taxes]</t>
  </si>
  <si>
    <t>Computadora</t>
  </si>
  <si>
    <t>Escritorio</t>
  </si>
  <si>
    <t>Publicidad</t>
  </si>
  <si>
    <t>Papeleria</t>
  </si>
  <si>
    <t>INICIAL</t>
  </si>
  <si>
    <t>Sillas</t>
  </si>
  <si>
    <t>Anuncio de Tienda</t>
  </si>
  <si>
    <t>Costo de los Productos Manufacturados</t>
  </si>
  <si>
    <t>Costo de los Productos Disponibles para la Venta</t>
  </si>
  <si>
    <t>Inventario Final de Productos Terminados (Un mes Despues)</t>
  </si>
  <si>
    <t>Inventario Inicial de Productos Terminados (Inicial)</t>
  </si>
  <si>
    <t>Costo de los Productos Vendidos</t>
  </si>
  <si>
    <t>COSTO DE LOS PRODUCTOS MANUFACTURADOS</t>
  </si>
  <si>
    <t>Inventario Inicial</t>
  </si>
  <si>
    <t>Costo de Materiales Directos Disponibles para su Uso</t>
  </si>
  <si>
    <t>Inventario Final</t>
  </si>
  <si>
    <t>Materiales Directos Usados</t>
  </si>
  <si>
    <t>Mano de Obra Directa</t>
  </si>
  <si>
    <t>Costos Indirectos de Manufactura:</t>
  </si>
  <si>
    <t>Suministros</t>
  </si>
  <si>
    <t>Depreciacion de Equipo</t>
  </si>
  <si>
    <t>Total de Costos Indirectos de Manufactura</t>
  </si>
  <si>
    <t>Materiales Directos:</t>
  </si>
  <si>
    <t>Mano de Obra Indirecta</t>
  </si>
  <si>
    <t>Ratios</t>
  </si>
  <si>
    <t>Inventario de Materias Primas [Raw Material]</t>
  </si>
  <si>
    <t>Inventario de Productos Terminados [Finished Goods]</t>
  </si>
  <si>
    <t>Efectivo [Cash]</t>
  </si>
  <si>
    <t>Cuentas por Cobrar [Accounts Receivable]</t>
  </si>
  <si>
    <t>Inventario [Inventory]</t>
  </si>
  <si>
    <t>Total De Activo Circulante [Current Assets]</t>
  </si>
  <si>
    <t>Otros Activos [Other Assets]</t>
  </si>
  <si>
    <t>Activo Fijo [Fixed Assets]</t>
  </si>
  <si>
    <t>Total De Activo Fijo [Net Fixed Assets]</t>
  </si>
  <si>
    <t>Total De Activo [Total Assets]</t>
  </si>
  <si>
    <t>ACTIVOS [ASSETS]</t>
  </si>
  <si>
    <t>Proveedores [Suppliers]</t>
  </si>
  <si>
    <t>Cuentas por Pagar [Accounts Payable]</t>
  </si>
  <si>
    <t>PASIVOS Y CAPITAL CONTABLE  [LIABILITIES &amp; EQUITY]</t>
  </si>
  <si>
    <t>Credito a Corto Plazo [Current Portion of Debt]</t>
  </si>
  <si>
    <t>Impuesto a la Utilidad ISR [Income Taxes Payable]</t>
  </si>
  <si>
    <t>Capital Contable [Capital Stock]</t>
  </si>
  <si>
    <t>Ganancias Retenidas [Retained Earnings]</t>
  </si>
  <si>
    <t>Capital de los Accionistas [Shareholder´s Equity]</t>
  </si>
  <si>
    <t>Total de Pasivo y Capital [Total Liabilities &amp; Equity]</t>
  </si>
  <si>
    <t>BALANCE GENERAL [BALANCE SHEET]</t>
  </si>
  <si>
    <t>ANALISIS VERTICAL</t>
  </si>
  <si>
    <t>ANALISIS HORIZONTAL</t>
  </si>
  <si>
    <t>Ventas Netas [Net Sales] Unidades Previstas a Vender X Precio de Venta</t>
  </si>
  <si>
    <t>Costo de Ventas [Cost of Goods Sold]</t>
  </si>
  <si>
    <t>Utilidad Bruta [Gross Margin]</t>
  </si>
  <si>
    <t>Gastos de Investigacion y Desarrollo [Research and Development]</t>
  </si>
  <si>
    <t>Utilidad de Operación [Income from Operations]</t>
  </si>
  <si>
    <t>ESTADO DE RESULTADOS [INCOME STATEMENT]</t>
  </si>
  <si>
    <t>Utilidad Neta [Net Income]</t>
  </si>
  <si>
    <t>Liquidez</t>
  </si>
  <si>
    <t>Liquidez, Miden la capacidad de la empresa para cubrir compromisos a corto plazo, un ratio 1:1 es considerado como normal, un ratio 2:0 o mayor es considerado como bueno. [Activo Circulante/Pasivo Circulante]</t>
  </si>
  <si>
    <t>Apalancamiento o Endeudamiento, Si la deuda es mas alta, el nivel de Riesgo sera Mayor, por lo tanto la empresa tendra mejor Rendimiento [Pasivo Total/Activo Total]</t>
  </si>
  <si>
    <t>Gestion del Activo, mide la eficiencia de la empresa en su Rotacion del Activo [Ventas/Activo Total], en su inventario [360/(Costo de Ventas/Inventario)], en sus cuentas por cobrar [360/(Ventas/Cuentas por Cobrar)] y en sus cuentas por pagar [360/(Costo de Ventas/Cuentas por Pagar)].</t>
  </si>
  <si>
    <t>Rentabilidad, miden la eficiencia en la operatividad de la empresa. Rendimiento sobre Activos [Utilidad Neta/Activos Totales], DUPONT, lo que gano por cada peso [(Ventas/Activo Total)*(Utilidad Neta/Ventas)]</t>
  </si>
  <si>
    <t>DeudaCapital, Si el porcentaje es mayor al 100% los acreedores aportan mas que los accionistas. [Pasivo Total/Capital Contable]</t>
  </si>
  <si>
    <t>Rotacion del Activo</t>
  </si>
  <si>
    <t>Dias de Inventario</t>
  </si>
  <si>
    <t>Dias de Cuentas por Cobrar</t>
  </si>
  <si>
    <t>Dias de Cuentas por Pagar</t>
  </si>
  <si>
    <t>Endeudamiento y Rendimiento</t>
  </si>
  <si>
    <t>Deuda y Capital</t>
  </si>
  <si>
    <t>ROA</t>
  </si>
  <si>
    <t>DUPONT</t>
  </si>
  <si>
    <t>PROYECCION INICIAL</t>
  </si>
  <si>
    <t>PORCENTAJE DEL MES ACTUAL</t>
  </si>
  <si>
    <t>INCREMENTO DEL MES ACTUAL</t>
  </si>
  <si>
    <t>Total de Pasivo [Total Liabilities]</t>
  </si>
  <si>
    <t>Pintura</t>
  </si>
  <si>
    <t>Pizarron</t>
  </si>
  <si>
    <t>Gas, Luz y Agua</t>
  </si>
  <si>
    <t>Costo de los Productos Manufacturados (Materia Prima + Gas, Luz y Agua)</t>
  </si>
  <si>
    <t>PORCENTAJE (proyeccion inicial)</t>
  </si>
  <si>
    <t>Carpa</t>
  </si>
  <si>
    <t>Generador</t>
  </si>
  <si>
    <t>Gastos Anticipados [Prepaid Expenses]</t>
  </si>
  <si>
    <t>Bolígrafo</t>
  </si>
  <si>
    <t>Regla Profesional</t>
  </si>
  <si>
    <t>Tijera</t>
  </si>
  <si>
    <t>Cutter</t>
  </si>
  <si>
    <t>Pinza Ponchadora</t>
  </si>
  <si>
    <t>Pistola para Silicon</t>
  </si>
  <si>
    <t>Cautin</t>
  </si>
  <si>
    <t>Molde caldero</t>
  </si>
  <si>
    <t>Molde Vela</t>
  </si>
  <si>
    <t>Molde Velas Funerario</t>
  </si>
  <si>
    <t>Molde Velas Pentagrama</t>
  </si>
  <si>
    <t>Molde Gato Egipcio</t>
  </si>
  <si>
    <t>Molde Virgen</t>
  </si>
  <si>
    <t>Molde Cruz</t>
  </si>
  <si>
    <t>Molde Ladrillo</t>
  </si>
  <si>
    <t>Molde Bloque Curvo</t>
  </si>
  <si>
    <t>Molde Adoquin</t>
  </si>
  <si>
    <t>Molde Adoquin Camino</t>
  </si>
  <si>
    <t>Molde Jarron Griego</t>
  </si>
  <si>
    <t>Estufa</t>
  </si>
  <si>
    <t>Olla</t>
  </si>
  <si>
    <t>Cucharon</t>
  </si>
  <si>
    <t>Rodillo de Madera</t>
  </si>
  <si>
    <t>Base para Pastel</t>
  </si>
  <si>
    <t>Batidora</t>
  </si>
  <si>
    <t>Licuadora</t>
  </si>
  <si>
    <t>Molde para pan</t>
  </si>
  <si>
    <t>Refrigerador</t>
  </si>
  <si>
    <t>Exhibidores de Productos</t>
  </si>
  <si>
    <t>Luces e Illuminacion</t>
  </si>
  <si>
    <t>Vinilo de Vitral</t>
  </si>
  <si>
    <t>Utileria y Decoracion</t>
  </si>
  <si>
    <t>Tiras Led 12 volts</t>
  </si>
  <si>
    <t>Beneficios a Empleados [Accrued Expenses]</t>
  </si>
  <si>
    <t>Gastos de Administracion [General &amp; Administrative](Rentas y Salarios)</t>
  </si>
  <si>
    <t>Gastos de Venta y Marketing [Sales &amp; Marketing](Activo Fijo)</t>
  </si>
  <si>
    <t>Compras de Materiales Directos (Materia Prima)</t>
  </si>
  <si>
    <t>INCREMENTO (desde la proyeccion hasta el mes de gananciasl)</t>
  </si>
  <si>
    <t>Pincel Grande</t>
  </si>
  <si>
    <t>Pincel Chico</t>
  </si>
  <si>
    <t>Alicate</t>
  </si>
  <si>
    <t>Cortador de Vidrio</t>
  </si>
  <si>
    <t>Maquina de Coser</t>
  </si>
  <si>
    <t>Mini Sierra</t>
  </si>
  <si>
    <t>Molde Espejo</t>
  </si>
  <si>
    <t>Hoja de Lija</t>
  </si>
  <si>
    <t>Balanza</t>
  </si>
  <si>
    <t>Colador de Plastico</t>
  </si>
  <si>
    <t>Cuchara Medidora</t>
  </si>
  <si>
    <t>Palangana de Plastico</t>
  </si>
  <si>
    <t>Jicara de Plastico</t>
  </si>
  <si>
    <t>Termometro</t>
  </si>
  <si>
    <t>Traste para Derretir Parafina</t>
  </si>
  <si>
    <t>Huacal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</si>
</sst>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1"/>
      <color theme="2" tint="-0.499984740745262"/>
      <name val="Avenir Next LT Pro"/>
      <family val="2"/>
    </font>
    <font>
      <b/>
      <sz val="11"/>
      <color theme="2" tint="-0.499984740745262"/>
      <name val="Avenir Next LT Pro"/>
      <family val="2"/>
    </font>
    <font>
      <sz val="11"/>
      <color theme="2" tint="-0.749992370372631"/>
      <name val="Avenir Next LT Pro"/>
      <family val="2"/>
    </font>
    <font>
      <b/>
      <sz val="11"/>
      <color theme="2" tint="-0.74999237037263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1" tint="0.34998626667073579"/>
      <name val="Avenir Next LT Pro"/>
      <family val="2"/>
    </font>
    <font>
      <sz val="8"/>
      <color theme="1"/>
      <name val="Avenir Next LT Pro"/>
      <family val="2"/>
    </font>
    <font>
      <sz val="11"/>
      <color theme="2" tint="-0.749992370372631"/>
      <name val="ZemestroStd"/>
    </font>
    <font>
      <sz val="11"/>
      <color theme="2" tint="-0.499984740745262"/>
      <name val="ZemestroStd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rgb="FF11C1FF"/>
        <bgColor indexed="64"/>
      </patternFill>
    </fill>
    <fill>
      <patternFill patternType="solid">
        <fgColor rgb="FF79DD79"/>
        <bgColor indexed="64"/>
      </patternFill>
    </fill>
    <fill>
      <patternFill patternType="solid">
        <fgColor rgb="FFF68EE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-0.249977111117893"/>
      </bottom>
      <diagonal/>
    </border>
    <border>
      <left style="thin">
        <color indexed="64"/>
      </left>
      <right/>
      <top style="thin">
        <color theme="9" tint="-0.249977111117893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0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1" tint="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10" fontId="0" fillId="0" borderId="0" xfId="0" applyNumberFormat="1"/>
    <xf numFmtId="44" fontId="0" fillId="0" borderId="0" xfId="0" applyNumberFormat="1"/>
    <xf numFmtId="9" fontId="0" fillId="0" borderId="0" xfId="0" applyNumberFormat="1"/>
    <xf numFmtId="0" fontId="1" fillId="0" borderId="2" xfId="0" applyFont="1" applyBorder="1"/>
    <xf numFmtId="44" fontId="1" fillId="0" borderId="2" xfId="0" applyNumberFormat="1" applyFont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3" xfId="0" applyFont="1" applyFill="1" applyBorder="1"/>
    <xf numFmtId="0" fontId="3" fillId="3" borderId="1" xfId="0" applyFont="1" applyFill="1" applyBorder="1"/>
    <xf numFmtId="0" fontId="3" fillId="3" borderId="4" xfId="0" applyFont="1" applyFill="1" applyBorder="1"/>
    <xf numFmtId="44" fontId="4" fillId="0" borderId="8" xfId="0" applyNumberFormat="1" applyFont="1" applyBorder="1"/>
    <xf numFmtId="44" fontId="4" fillId="0" borderId="10" xfId="0" applyNumberFormat="1" applyFont="1" applyBorder="1"/>
    <xf numFmtId="44" fontId="4" fillId="0" borderId="6" xfId="0" applyNumberFormat="1" applyFont="1" applyBorder="1"/>
    <xf numFmtId="44" fontId="4" fillId="0" borderId="9" xfId="0" applyNumberFormat="1" applyFont="1" applyBorder="1"/>
    <xf numFmtId="44" fontId="3" fillId="4" borderId="10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right"/>
    </xf>
    <xf numFmtId="44" fontId="5" fillId="5" borderId="6" xfId="0" applyNumberFormat="1" applyFont="1" applyFill="1" applyBorder="1"/>
    <xf numFmtId="0" fontId="3" fillId="2" borderId="5" xfId="0" applyFont="1" applyFill="1" applyBorder="1" applyAlignment="1">
      <alignment horizontal="center" vertical="center"/>
    </xf>
    <xf numFmtId="44" fontId="3" fillId="4" borderId="6" xfId="0" applyNumberFormat="1" applyFont="1" applyFill="1" applyBorder="1" applyAlignment="1">
      <alignment horizontal="center" vertical="center"/>
    </xf>
    <xf numFmtId="0" fontId="3" fillId="5" borderId="4" xfId="0" applyFont="1" applyFill="1" applyBorder="1"/>
    <xf numFmtId="44" fontId="5" fillId="5" borderId="9" xfId="0" applyNumberFormat="1" applyFont="1" applyFill="1" applyBorder="1"/>
    <xf numFmtId="44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3" fillId="2" borderId="7" xfId="0" applyFont="1" applyFill="1" applyBorder="1" applyAlignment="1">
      <alignment horizontal="center"/>
    </xf>
    <xf numFmtId="44" fontId="3" fillId="2" borderId="7" xfId="0" applyNumberFormat="1" applyFont="1" applyFill="1" applyBorder="1" applyAlignment="1">
      <alignment horizontal="center"/>
    </xf>
    <xf numFmtId="0" fontId="2" fillId="3" borderId="0" xfId="0" applyFont="1" applyFill="1"/>
    <xf numFmtId="44" fontId="4" fillId="0" borderId="7" xfId="0" applyNumberFormat="1" applyFont="1" applyBorder="1"/>
    <xf numFmtId="0" fontId="1" fillId="3" borderId="0" xfId="0" applyFont="1" applyFill="1"/>
    <xf numFmtId="44" fontId="1" fillId="0" borderId="12" xfId="0" applyNumberFormat="1" applyFont="1" applyBorder="1"/>
    <xf numFmtId="44" fontId="1" fillId="0" borderId="7" xfId="0" applyNumberFormat="1" applyFont="1" applyBorder="1"/>
    <xf numFmtId="44" fontId="1" fillId="0" borderId="16" xfId="0" applyNumberFormat="1" applyFont="1" applyBorder="1"/>
    <xf numFmtId="0" fontId="3" fillId="3" borderId="0" xfId="0" applyFont="1" applyFill="1"/>
    <xf numFmtId="44" fontId="4" fillId="0" borderId="12" xfId="0" applyNumberFormat="1" applyFont="1" applyBorder="1"/>
    <xf numFmtId="0" fontId="7" fillId="4" borderId="7" xfId="0" applyFont="1" applyFill="1" applyBorder="1"/>
    <xf numFmtId="44" fontId="1" fillId="4" borderId="7" xfId="0" applyNumberFormat="1" applyFont="1" applyFill="1" applyBorder="1"/>
    <xf numFmtId="0" fontId="7" fillId="4" borderId="13" xfId="0" applyFont="1" applyFill="1" applyBorder="1"/>
    <xf numFmtId="44" fontId="5" fillId="4" borderId="7" xfId="0" applyNumberFormat="1" applyFont="1" applyFill="1" applyBorder="1"/>
    <xf numFmtId="0" fontId="7" fillId="6" borderId="7" xfId="0" applyFont="1" applyFill="1" applyBorder="1"/>
    <xf numFmtId="44" fontId="1" fillId="6" borderId="7" xfId="0" applyNumberFormat="1" applyFont="1" applyFill="1" applyBorder="1"/>
    <xf numFmtId="44" fontId="1" fillId="5" borderId="14" xfId="0" applyNumberFormat="1" applyFont="1" applyFill="1" applyBorder="1"/>
    <xf numFmtId="0" fontId="7" fillId="6" borderId="15" xfId="0" applyFont="1" applyFill="1" applyBorder="1"/>
    <xf numFmtId="0" fontId="7" fillId="5" borderId="10" xfId="0" applyFont="1" applyFill="1" applyBorder="1"/>
    <xf numFmtId="44" fontId="5" fillId="5" borderId="14" xfId="0" applyNumberFormat="1" applyFont="1" applyFill="1" applyBorder="1"/>
    <xf numFmtId="0" fontId="3" fillId="6" borderId="4" xfId="0" applyFont="1" applyFill="1" applyBorder="1" applyAlignment="1">
      <alignment horizontal="right"/>
    </xf>
    <xf numFmtId="44" fontId="5" fillId="6" borderId="6" xfId="0" applyNumberFormat="1" applyFont="1" applyFill="1" applyBorder="1"/>
    <xf numFmtId="0" fontId="3" fillId="7" borderId="4" xfId="0" applyFont="1" applyFill="1" applyBorder="1" applyAlignment="1">
      <alignment horizontal="right"/>
    </xf>
    <xf numFmtId="44" fontId="5" fillId="7" borderId="6" xfId="0" applyNumberFormat="1" applyFont="1" applyFill="1" applyBorder="1"/>
    <xf numFmtId="0" fontId="3" fillId="3" borderId="3" xfId="0" applyFont="1" applyFill="1" applyBorder="1" applyAlignment="1">
      <alignment horizontal="right"/>
    </xf>
    <xf numFmtId="0" fontId="2" fillId="3" borderId="14" xfId="0" applyFont="1" applyFill="1" applyBorder="1"/>
    <xf numFmtId="0" fontId="8" fillId="0" borderId="0" xfId="0" applyFont="1" applyAlignment="1">
      <alignment wrapText="1"/>
    </xf>
    <xf numFmtId="44" fontId="1" fillId="0" borderId="27" xfId="0" applyNumberFormat="1" applyFont="1" applyBorder="1"/>
    <xf numFmtId="44" fontId="7" fillId="5" borderId="0" xfId="0" applyNumberFormat="1" applyFont="1" applyFill="1" applyAlignment="1">
      <alignment horizontal="center" vertical="center"/>
    </xf>
    <xf numFmtId="44" fontId="1" fillId="5" borderId="28" xfId="0" applyNumberFormat="1" applyFont="1" applyFill="1" applyBorder="1" applyAlignment="1">
      <alignment horizontal="right" vertical="center"/>
    </xf>
    <xf numFmtId="44" fontId="1" fillId="5" borderId="30" xfId="0" applyNumberFormat="1" applyFont="1" applyFill="1" applyBorder="1" applyAlignment="1">
      <alignment horizontal="right" vertical="center"/>
    </xf>
    <xf numFmtId="9" fontId="1" fillId="0" borderId="35" xfId="0" applyNumberFormat="1" applyFont="1" applyBorder="1"/>
    <xf numFmtId="44" fontId="3" fillId="10" borderId="7" xfId="0" applyNumberFormat="1" applyFont="1" applyFill="1" applyBorder="1" applyAlignment="1">
      <alignment horizontal="center"/>
    </xf>
    <xf numFmtId="10" fontId="4" fillId="0" borderId="7" xfId="0" applyNumberFormat="1" applyFont="1" applyBorder="1"/>
    <xf numFmtId="44" fontId="4" fillId="0" borderId="0" xfId="0" applyNumberFormat="1" applyFont="1"/>
    <xf numFmtId="0" fontId="2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44" fontId="3" fillId="11" borderId="7" xfId="0" applyNumberFormat="1" applyFont="1" applyFill="1" applyBorder="1" applyAlignment="1">
      <alignment horizontal="center"/>
    </xf>
    <xf numFmtId="44" fontId="3" fillId="10" borderId="7" xfId="0" applyNumberFormat="1" applyFont="1" applyFill="1" applyBorder="1" applyAlignment="1">
      <alignment horizontal="center" vertical="center"/>
    </xf>
    <xf numFmtId="2" fontId="1" fillId="9" borderId="30" xfId="0" applyNumberFormat="1" applyFont="1" applyFill="1" applyBorder="1" applyAlignment="1">
      <alignment horizontal="center" vertical="center"/>
    </xf>
    <xf numFmtId="1" fontId="1" fillId="9" borderId="30" xfId="0" applyNumberFormat="1" applyFont="1" applyFill="1" applyBorder="1" applyAlignment="1">
      <alignment horizontal="center" vertical="center"/>
    </xf>
    <xf numFmtId="2" fontId="1" fillId="9" borderId="29" xfId="0" applyNumberFormat="1" applyFont="1" applyFill="1" applyBorder="1" applyAlignment="1">
      <alignment horizontal="center" vertical="center"/>
    </xf>
    <xf numFmtId="2" fontId="1" fillId="9" borderId="26" xfId="0" applyNumberFormat="1" applyFont="1" applyFill="1" applyBorder="1" applyAlignment="1">
      <alignment horizontal="center" vertical="center"/>
    </xf>
    <xf numFmtId="44" fontId="4" fillId="0" borderId="17" xfId="0" applyNumberFormat="1" applyFont="1" applyBorder="1"/>
    <xf numFmtId="44" fontId="3" fillId="11" borderId="10" xfId="0" applyNumberFormat="1" applyFont="1" applyFill="1" applyBorder="1" applyAlignment="1">
      <alignment horizontal="center" vertical="center"/>
    </xf>
    <xf numFmtId="44" fontId="5" fillId="0" borderId="0" xfId="0" applyNumberFormat="1" applyFont="1"/>
    <xf numFmtId="44" fontId="3" fillId="0" borderId="0" xfId="0" applyNumberFormat="1" applyFont="1" applyAlignment="1">
      <alignment horizontal="center"/>
    </xf>
    <xf numFmtId="44" fontId="3" fillId="10" borderId="7" xfId="0" applyNumberFormat="1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justify" vertical="center" wrapText="1"/>
    </xf>
    <xf numFmtId="0" fontId="10" fillId="3" borderId="0" xfId="0" applyFont="1" applyFill="1" applyAlignment="1">
      <alignment horizontal="justify" vertical="center" wrapText="1"/>
    </xf>
    <xf numFmtId="6" fontId="9" fillId="0" borderId="37" xfId="0" applyNumberFormat="1" applyFont="1" applyFill="1" applyBorder="1"/>
    <xf numFmtId="6" fontId="9" fillId="0" borderId="38" xfId="0" applyNumberFormat="1" applyFont="1" applyFill="1" applyBorder="1"/>
    <xf numFmtId="6" fontId="9" fillId="0" borderId="39" xfId="0" applyNumberFormat="1" applyFont="1" applyFill="1" applyBorder="1"/>
    <xf numFmtId="0" fontId="10" fillId="3" borderId="41" xfId="0" applyFont="1" applyFill="1" applyBorder="1" applyAlignment="1">
      <alignment horizontal="justify" vertical="center" wrapText="1"/>
    </xf>
    <xf numFmtId="0" fontId="2" fillId="3" borderId="40" xfId="0" applyFont="1" applyFill="1" applyBorder="1"/>
    <xf numFmtId="44" fontId="4" fillId="0" borderId="39" xfId="0" applyNumberFormat="1" applyFont="1" applyBorder="1"/>
    <xf numFmtId="44" fontId="5" fillId="6" borderId="43" xfId="0" applyNumberFormat="1" applyFont="1" applyFill="1" applyBorder="1"/>
    <xf numFmtId="44" fontId="4" fillId="0" borderId="0" xfId="0" applyNumberFormat="1" applyFont="1" applyBorder="1"/>
    <xf numFmtId="44" fontId="1" fillId="0" borderId="0" xfId="0" applyNumberFormat="1" applyFont="1" applyFill="1" applyBorder="1"/>
    <xf numFmtId="10" fontId="4" fillId="0" borderId="0" xfId="0" applyNumberFormat="1" applyFont="1" applyBorder="1"/>
    <xf numFmtId="44" fontId="4" fillId="0" borderId="45" xfId="0" applyNumberFormat="1" applyFont="1" applyBorder="1"/>
    <xf numFmtId="10" fontId="4" fillId="0" borderId="45" xfId="0" applyNumberFormat="1" applyFont="1" applyBorder="1"/>
    <xf numFmtId="10" fontId="4" fillId="0" borderId="44" xfId="0" applyNumberFormat="1" applyFont="1" applyBorder="1"/>
    <xf numFmtId="44" fontId="1" fillId="0" borderId="0" xfId="0" applyNumberFormat="1" applyFont="1" applyBorder="1"/>
    <xf numFmtId="0" fontId="2" fillId="0" borderId="0" xfId="0" applyFont="1" applyFill="1" applyBorder="1"/>
    <xf numFmtId="0" fontId="7" fillId="0" borderId="0" xfId="0" applyFont="1" applyFill="1" applyBorder="1"/>
    <xf numFmtId="0" fontId="7" fillId="5" borderId="45" xfId="0" applyFont="1" applyFill="1" applyBorder="1"/>
    <xf numFmtId="10" fontId="4" fillId="0" borderId="46" xfId="0" applyNumberFormat="1" applyFont="1" applyBorder="1"/>
    <xf numFmtId="0" fontId="2" fillId="0" borderId="47" xfId="0" applyFont="1" applyFill="1" applyBorder="1"/>
    <xf numFmtId="0" fontId="10" fillId="3" borderId="0" xfId="0" applyFont="1" applyFill="1" applyBorder="1" applyAlignment="1">
      <alignment horizontal="justify" vertical="center" wrapText="1"/>
    </xf>
    <xf numFmtId="0" fontId="7" fillId="6" borderId="12" xfId="0" applyFont="1" applyFill="1" applyBorder="1"/>
    <xf numFmtId="44" fontId="1" fillId="6" borderId="14" xfId="0" applyNumberFormat="1" applyFont="1" applyFill="1" applyBorder="1"/>
    <xf numFmtId="10" fontId="4" fillId="0" borderId="12" xfId="0" applyNumberFormat="1" applyFont="1" applyBorder="1"/>
    <xf numFmtId="8" fontId="9" fillId="0" borderId="39" xfId="0" applyNumberFormat="1" applyFont="1" applyFill="1" applyBorder="1"/>
    <xf numFmtId="8" fontId="9" fillId="0" borderId="37" xfId="0" applyNumberFormat="1" applyFont="1" applyFill="1" applyBorder="1"/>
    <xf numFmtId="8" fontId="9" fillId="0" borderId="41" xfId="0" applyNumberFormat="1" applyFont="1" applyFill="1" applyBorder="1"/>
    <xf numFmtId="8" fontId="9" fillId="0" borderId="42" xfId="0" applyNumberFormat="1" applyFont="1" applyFill="1" applyBorder="1"/>
    <xf numFmtId="0" fontId="10" fillId="3" borderId="48" xfId="0" applyFont="1" applyFill="1" applyBorder="1" applyAlignment="1">
      <alignment horizontal="justify" vertical="center" wrapText="1"/>
    </xf>
    <xf numFmtId="6" fontId="9" fillId="0" borderId="49" xfId="0" applyNumberFormat="1" applyFont="1" applyFill="1" applyBorder="1"/>
    <xf numFmtId="6" fontId="9" fillId="0" borderId="50" xfId="0" applyNumberFormat="1" applyFont="1" applyFill="1" applyBorder="1"/>
    <xf numFmtId="6" fontId="9" fillId="0" borderId="51" xfId="0" applyNumberFormat="1" applyFont="1" applyFill="1" applyBorder="1"/>
    <xf numFmtId="6" fontId="9" fillId="0" borderId="52" xfId="0" applyNumberFormat="1" applyFont="1" applyFill="1" applyBorder="1"/>
    <xf numFmtId="0" fontId="8" fillId="8" borderId="21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44" fontId="1" fillId="5" borderId="34" xfId="0" applyNumberFormat="1" applyFont="1" applyFill="1" applyBorder="1" applyAlignment="1">
      <alignment horizontal="right" vertical="center" wrapText="1"/>
    </xf>
    <xf numFmtId="44" fontId="1" fillId="5" borderId="33" xfId="0" applyNumberFormat="1" applyFont="1" applyFill="1" applyBorder="1" applyAlignment="1">
      <alignment horizontal="right" vertical="center" wrapText="1"/>
    </xf>
    <xf numFmtId="44" fontId="1" fillId="5" borderId="32" xfId="0" applyNumberFormat="1" applyFont="1" applyFill="1" applyBorder="1" applyAlignment="1">
      <alignment horizontal="right" vertical="center"/>
    </xf>
    <xf numFmtId="44" fontId="1" fillId="5" borderId="33" xfId="0" applyNumberFormat="1" applyFont="1" applyFill="1" applyBorder="1" applyAlignment="1">
      <alignment horizontal="right" vertical="center"/>
    </xf>
    <xf numFmtId="44" fontId="1" fillId="5" borderId="24" xfId="0" applyNumberFormat="1" applyFont="1" applyFill="1" applyBorder="1" applyAlignment="1">
      <alignment horizontal="right" vertical="center"/>
    </xf>
    <xf numFmtId="44" fontId="1" fillId="5" borderId="25" xfId="0" applyNumberFormat="1" applyFont="1" applyFill="1" applyBorder="1" applyAlignment="1">
      <alignment horizontal="right" vertical="center"/>
    </xf>
    <xf numFmtId="2" fontId="1" fillId="9" borderId="26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0" fontId="1" fillId="9" borderId="29" xfId="0" applyNumberFormat="1" applyFont="1" applyFill="1" applyBorder="1" applyAlignment="1">
      <alignment horizontal="center" vertical="center"/>
    </xf>
    <xf numFmtId="10" fontId="1" fillId="9" borderId="31" xfId="0" applyNumberFormat="1" applyFont="1" applyFill="1" applyBorder="1" applyAlignment="1">
      <alignment horizontal="center" vertical="center"/>
    </xf>
    <xf numFmtId="9" fontId="1" fillId="9" borderId="29" xfId="0" applyNumberFormat="1" applyFont="1" applyFill="1" applyBorder="1" applyAlignment="1">
      <alignment horizontal="center" vertical="center"/>
    </xf>
    <xf numFmtId="9" fontId="1" fillId="9" borderId="31" xfId="0" applyNumberFormat="1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BF6"/>
      <color rgb="FF79DD79"/>
      <color rgb="FF11C1FF"/>
      <color rgb="FFF68EEA"/>
      <color rgb="FFF149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showGridLines="0" topLeftCell="A79" workbookViewId="0">
      <selection activeCell="H29" sqref="H29"/>
    </sheetView>
  </sheetViews>
  <sheetFormatPr baseColWidth="10" defaultColWidth="11.42578125" defaultRowHeight="15"/>
  <cols>
    <col min="1" max="1" width="56.140625" customWidth="1"/>
    <col min="2" max="2" width="22.7109375" style="2" customWidth="1"/>
    <col min="3" max="3" width="31.140625" style="2" customWidth="1"/>
    <col min="4" max="4" width="19" style="2" customWidth="1"/>
    <col min="5" max="5" width="37.5703125" style="3" customWidth="1"/>
    <col min="6" max="6" width="36.42578125" style="1" customWidth="1"/>
    <col min="7" max="7" width="62.140625" customWidth="1"/>
    <col min="8" max="8" width="22.42578125" style="2" customWidth="1"/>
    <col min="9" max="9" width="21.140625" customWidth="1"/>
    <col min="10" max="10" width="19.42578125" customWidth="1"/>
    <col min="11" max="11" width="38" customWidth="1"/>
    <col min="12" max="12" width="35.7109375" customWidth="1"/>
  </cols>
  <sheetData>
    <row r="1" spans="1:12" ht="46.5" customHeight="1">
      <c r="A1" s="121" t="s">
        <v>52</v>
      </c>
      <c r="B1" s="121"/>
      <c r="C1" s="55" t="s">
        <v>31</v>
      </c>
      <c r="D1" s="23"/>
      <c r="E1" s="24"/>
      <c r="F1" s="25"/>
      <c r="G1" s="26"/>
      <c r="H1" s="23"/>
      <c r="I1" s="26"/>
      <c r="J1" s="26"/>
      <c r="K1" s="26"/>
      <c r="L1" s="26"/>
    </row>
    <row r="2" spans="1:12">
      <c r="A2" s="26"/>
      <c r="B2" s="23"/>
      <c r="C2" s="23"/>
      <c r="D2" s="23"/>
      <c r="E2" s="24"/>
      <c r="F2" s="25"/>
      <c r="G2" s="26"/>
      <c r="H2" s="23"/>
      <c r="I2" s="26"/>
      <c r="J2" s="26"/>
      <c r="K2" s="26"/>
      <c r="L2" s="26"/>
    </row>
    <row r="3" spans="1:12" ht="14.25" customHeight="1">
      <c r="A3" s="26"/>
      <c r="B3" s="23"/>
      <c r="C3" s="23"/>
      <c r="D3" s="23"/>
      <c r="E3" s="23"/>
      <c r="F3" s="25"/>
      <c r="G3" s="26"/>
      <c r="H3" s="23"/>
      <c r="I3" s="26"/>
      <c r="J3" s="26"/>
      <c r="K3" s="26"/>
      <c r="L3" s="26"/>
    </row>
    <row r="4" spans="1:12" ht="18.75" customHeight="1">
      <c r="A4" s="110" t="s">
        <v>63</v>
      </c>
      <c r="B4" s="126"/>
      <c r="C4" s="118" t="s">
        <v>62</v>
      </c>
      <c r="D4" s="120">
        <f>B25/H24</f>
        <v>2.7106978259857546</v>
      </c>
      <c r="E4" s="24"/>
      <c r="F4" s="25"/>
      <c r="G4" s="26"/>
      <c r="H4" s="23"/>
      <c r="I4" s="26"/>
      <c r="J4" s="26"/>
      <c r="K4" s="26"/>
      <c r="L4" s="26"/>
    </row>
    <row r="5" spans="1:12" ht="21" customHeight="1">
      <c r="A5" s="113"/>
      <c r="B5" s="127"/>
      <c r="C5" s="119"/>
      <c r="D5" s="120"/>
      <c r="E5" s="24"/>
      <c r="F5" s="25"/>
      <c r="G5" s="26"/>
      <c r="H5" s="23"/>
      <c r="I5" s="26"/>
      <c r="J5" s="26"/>
      <c r="K5" s="26"/>
      <c r="L5" s="26"/>
    </row>
    <row r="6" spans="1:12" ht="21" customHeight="1">
      <c r="A6" s="110" t="s">
        <v>65</v>
      </c>
      <c r="B6" s="110"/>
      <c r="C6" s="57" t="s">
        <v>68</v>
      </c>
      <c r="D6" s="67" t="e">
        <f>'Estado de Resultados'!N3/'Balance General'!C91</f>
        <v>#DIV/0!</v>
      </c>
      <c r="E6" s="24"/>
      <c r="F6" s="25"/>
      <c r="G6" s="26"/>
      <c r="H6" s="23"/>
      <c r="I6" s="26"/>
      <c r="J6" s="26"/>
      <c r="K6" s="26"/>
      <c r="L6" s="26"/>
    </row>
    <row r="7" spans="1:12" ht="21" customHeight="1">
      <c r="A7" s="112"/>
      <c r="B7" s="112"/>
      <c r="C7" s="57" t="s">
        <v>69</v>
      </c>
      <c r="D7" s="68" t="e">
        <f>360/('Estado de Resultados'!N4/C24)</f>
        <v>#DIV/0!</v>
      </c>
      <c r="E7" s="24"/>
      <c r="F7" s="25"/>
      <c r="G7" s="26"/>
      <c r="H7" s="23"/>
      <c r="I7" s="26"/>
      <c r="J7" s="26"/>
      <c r="K7" s="26"/>
      <c r="L7" s="26"/>
    </row>
    <row r="8" spans="1:12" ht="21" customHeight="1">
      <c r="A8" s="112"/>
      <c r="B8" s="112"/>
      <c r="C8" s="57" t="s">
        <v>70</v>
      </c>
      <c r="D8" s="68" t="e">
        <f>360/('Estado de Resultados'!N3/C20)</f>
        <v>#DIV/0!</v>
      </c>
      <c r="E8" s="24"/>
      <c r="F8" s="25"/>
      <c r="G8" s="26"/>
      <c r="H8" s="23"/>
      <c r="I8" s="26"/>
      <c r="J8" s="26"/>
      <c r="K8" s="26"/>
      <c r="L8" s="26"/>
    </row>
    <row r="9" spans="1:12" ht="21.75" customHeight="1">
      <c r="A9" s="113"/>
      <c r="B9" s="113"/>
      <c r="C9" s="57" t="s">
        <v>71</v>
      </c>
      <c r="D9" s="69" t="e">
        <f>360/('Estado de Resultados'!N4/I20)</f>
        <v>#DIV/0!</v>
      </c>
      <c r="E9" s="24"/>
      <c r="F9" s="25"/>
      <c r="G9" s="26"/>
      <c r="H9" s="23"/>
      <c r="I9" s="26"/>
      <c r="J9" s="26"/>
      <c r="K9" s="26"/>
      <c r="L9" s="26"/>
    </row>
    <row r="10" spans="1:12" ht="20.25" customHeight="1">
      <c r="A10" s="110" t="s">
        <v>64</v>
      </c>
      <c r="B10" s="110"/>
      <c r="C10" s="114" t="s">
        <v>72</v>
      </c>
      <c r="D10" s="122" t="e">
        <f>SUM(I24,I26)/C91</f>
        <v>#DIV/0!</v>
      </c>
      <c r="E10" s="58"/>
      <c r="F10" s="25"/>
      <c r="G10" s="26"/>
      <c r="H10" s="23"/>
      <c r="I10" s="26"/>
      <c r="J10" s="26"/>
      <c r="K10" s="26"/>
      <c r="L10" s="26"/>
    </row>
    <row r="11" spans="1:12" ht="18.75" customHeight="1">
      <c r="A11" s="113"/>
      <c r="B11" s="113"/>
      <c r="C11" s="115"/>
      <c r="D11" s="123"/>
      <c r="E11" s="24"/>
      <c r="F11" s="25"/>
      <c r="G11" s="26"/>
      <c r="H11" s="23"/>
      <c r="I11" s="26"/>
      <c r="J11" s="26"/>
      <c r="K11" s="26"/>
      <c r="L11" s="26"/>
    </row>
    <row r="12" spans="1:12">
      <c r="A12" s="110" t="s">
        <v>67</v>
      </c>
      <c r="B12" s="110"/>
      <c r="C12" s="116" t="s">
        <v>73</v>
      </c>
      <c r="D12" s="124" t="e">
        <f>SUM(I24,I26)/I76</f>
        <v>#DIV/0!</v>
      </c>
      <c r="E12" s="24"/>
      <c r="F12" s="25"/>
      <c r="G12" s="26"/>
      <c r="H12" s="23"/>
      <c r="I12" s="26"/>
      <c r="J12" s="26"/>
      <c r="K12" s="26"/>
      <c r="L12" s="26"/>
    </row>
    <row r="13" spans="1:12">
      <c r="A13" s="113"/>
      <c r="B13" s="113"/>
      <c r="C13" s="117"/>
      <c r="D13" s="125"/>
      <c r="E13" s="24"/>
      <c r="F13" s="25"/>
      <c r="G13" s="26"/>
      <c r="H13" s="23"/>
      <c r="I13" s="26"/>
      <c r="J13" s="26"/>
      <c r="K13" s="26"/>
      <c r="L13" s="26"/>
    </row>
    <row r="14" spans="1:12" ht="17.25" customHeight="1">
      <c r="A14" s="110" t="s">
        <v>66</v>
      </c>
      <c r="B14" s="110"/>
      <c r="C14" s="57" t="s">
        <v>74</v>
      </c>
      <c r="D14" s="70" t="e">
        <f>'Estado de Resultados'!N20/C91</f>
        <v>#DIV/0!</v>
      </c>
      <c r="E14" s="24"/>
      <c r="F14" s="25"/>
      <c r="G14" s="26"/>
      <c r="H14" s="23"/>
      <c r="I14" s="26"/>
      <c r="J14" s="26"/>
      <c r="K14" s="26"/>
      <c r="L14" s="26"/>
    </row>
    <row r="15" spans="1:12">
      <c r="A15" s="111"/>
      <c r="B15" s="111"/>
      <c r="C15" s="56" t="s">
        <v>75</v>
      </c>
      <c r="D15" s="69" t="e">
        <f>('Estado de Resultados'!N3/C91)*('Estado de Resultados'!N20/'Estado de Resultados'!N3)</f>
        <v>#DIV/0!</v>
      </c>
      <c r="E15" s="24"/>
      <c r="F15" s="25"/>
      <c r="G15" s="26"/>
      <c r="H15" s="23"/>
      <c r="I15" s="26"/>
      <c r="J15" s="26"/>
      <c r="K15" s="26"/>
      <c r="L15" s="26"/>
    </row>
    <row r="16" spans="1:12">
      <c r="A16" s="53"/>
      <c r="B16" s="53"/>
      <c r="C16" s="54"/>
      <c r="D16" s="23"/>
      <c r="E16" s="24"/>
      <c r="F16" s="25"/>
      <c r="G16" s="26"/>
      <c r="H16" s="23"/>
      <c r="I16" s="26"/>
      <c r="J16" s="26"/>
      <c r="K16" s="26"/>
      <c r="L16" s="26"/>
    </row>
    <row r="17" spans="1:12">
      <c r="A17" s="26"/>
      <c r="B17" s="23"/>
      <c r="C17" s="23"/>
      <c r="D17" s="23"/>
      <c r="E17" s="28" t="s">
        <v>53</v>
      </c>
      <c r="F17" s="28" t="s">
        <v>54</v>
      </c>
      <c r="G17" s="4"/>
      <c r="H17" s="5"/>
      <c r="I17" s="26"/>
      <c r="J17" s="26"/>
      <c r="K17" s="28" t="s">
        <v>53</v>
      </c>
      <c r="L17" s="28" t="s">
        <v>54</v>
      </c>
    </row>
    <row r="18" spans="1:12">
      <c r="A18" s="27" t="s">
        <v>42</v>
      </c>
      <c r="B18" s="28" t="s">
        <v>11</v>
      </c>
      <c r="C18" s="65" t="s">
        <v>1</v>
      </c>
      <c r="D18" s="59" t="s">
        <v>2</v>
      </c>
      <c r="E18" s="59" t="s">
        <v>77</v>
      </c>
      <c r="F18" s="59" t="s">
        <v>78</v>
      </c>
      <c r="G18" s="27" t="s">
        <v>45</v>
      </c>
      <c r="H18" s="28" t="s">
        <v>11</v>
      </c>
      <c r="I18" s="65" t="s">
        <v>1</v>
      </c>
      <c r="J18" s="59" t="s">
        <v>2</v>
      </c>
      <c r="K18" s="59" t="s">
        <v>77</v>
      </c>
      <c r="L18" s="59" t="s">
        <v>78</v>
      </c>
    </row>
    <row r="19" spans="1:12">
      <c r="A19" s="29" t="s">
        <v>34</v>
      </c>
      <c r="B19" s="30">
        <v>0</v>
      </c>
      <c r="C19" s="30">
        <v>0</v>
      </c>
      <c r="D19" s="30">
        <v>0</v>
      </c>
      <c r="E19" s="60" t="e">
        <f t="shared" ref="E19:E24" si="0">C19/$C$91</f>
        <v>#DIV/0!</v>
      </c>
      <c r="F19" s="60" t="e">
        <f>((C19/D19)-1)</f>
        <v>#DIV/0!</v>
      </c>
      <c r="G19" s="29" t="s">
        <v>43</v>
      </c>
      <c r="H19" s="32">
        <v>0</v>
      </c>
      <c r="I19" s="30">
        <v>0</v>
      </c>
      <c r="J19" s="30">
        <v>0</v>
      </c>
      <c r="K19" s="60" t="e">
        <f>I19/$I$27</f>
        <v>#DIV/0!</v>
      </c>
      <c r="L19" s="60" t="e">
        <f>((I19/J19)-1)</f>
        <v>#DIV/0!</v>
      </c>
    </row>
    <row r="20" spans="1:12">
      <c r="A20" s="29" t="s">
        <v>35</v>
      </c>
      <c r="B20" s="30">
        <v>0</v>
      </c>
      <c r="C20" s="30">
        <v>0</v>
      </c>
      <c r="D20" s="30">
        <v>0</v>
      </c>
      <c r="E20" s="60" t="e">
        <f t="shared" si="0"/>
        <v>#DIV/0!</v>
      </c>
      <c r="F20" s="60" t="e">
        <f t="shared" ref="F20:F91" si="1">((C20/D20)-1)</f>
        <v>#DIV/0!</v>
      </c>
      <c r="G20" s="29" t="s">
        <v>44</v>
      </c>
      <c r="H20" s="33">
        <v>12888.6</v>
      </c>
      <c r="I20" s="30">
        <v>0</v>
      </c>
      <c r="J20" s="30">
        <v>0</v>
      </c>
      <c r="K20" s="60" t="e">
        <f t="shared" ref="K20:K23" si="2">I20/$I$27</f>
        <v>#DIV/0!</v>
      </c>
      <c r="L20" s="60" t="e">
        <f t="shared" ref="L20:L29" si="3">((I20/J20)-1)</f>
        <v>#DIV/0!</v>
      </c>
    </row>
    <row r="21" spans="1:12">
      <c r="A21" s="29" t="s">
        <v>87</v>
      </c>
      <c r="B21" s="30">
        <v>0</v>
      </c>
      <c r="C21" s="30">
        <v>0</v>
      </c>
      <c r="D21" s="30">
        <v>0</v>
      </c>
      <c r="E21" s="60" t="e">
        <f t="shared" si="0"/>
        <v>#DIV/0!</v>
      </c>
      <c r="F21" s="60" t="e">
        <f t="shared" si="1"/>
        <v>#DIV/0!</v>
      </c>
      <c r="G21" s="29" t="s">
        <v>46</v>
      </c>
      <c r="H21" s="34"/>
      <c r="I21" s="30">
        <v>0</v>
      </c>
      <c r="J21" s="30">
        <v>0</v>
      </c>
      <c r="K21" s="60" t="e">
        <f t="shared" si="2"/>
        <v>#DIV/0!</v>
      </c>
      <c r="L21" s="60" t="e">
        <f t="shared" si="3"/>
        <v>#DIV/0!</v>
      </c>
    </row>
    <row r="22" spans="1:12">
      <c r="A22" s="35" t="s">
        <v>36</v>
      </c>
      <c r="B22" s="30"/>
      <c r="C22" s="30">
        <v>0</v>
      </c>
      <c r="D22" s="30">
        <v>0</v>
      </c>
      <c r="E22" s="60" t="e">
        <f t="shared" si="0"/>
        <v>#DIV/0!</v>
      </c>
      <c r="F22" s="60" t="e">
        <f t="shared" si="1"/>
        <v>#DIV/0!</v>
      </c>
      <c r="G22" s="29" t="s">
        <v>47</v>
      </c>
      <c r="H22" s="33">
        <v>0</v>
      </c>
      <c r="I22" s="30">
        <v>0</v>
      </c>
      <c r="J22" s="30">
        <v>0</v>
      </c>
      <c r="K22" s="60" t="e">
        <f t="shared" si="2"/>
        <v>#DIV/0!</v>
      </c>
      <c r="L22" s="60" t="e">
        <f t="shared" si="3"/>
        <v>#DIV/0!</v>
      </c>
    </row>
    <row r="23" spans="1:12">
      <c r="A23" s="29" t="s">
        <v>32</v>
      </c>
      <c r="B23" s="30">
        <v>27434.22</v>
      </c>
      <c r="C23" s="30">
        <v>0</v>
      </c>
      <c r="D23" s="30">
        <v>0</v>
      </c>
      <c r="E23" s="60" t="e">
        <f t="shared" si="0"/>
        <v>#DIV/0!</v>
      </c>
      <c r="F23" s="60" t="e">
        <f t="shared" si="1"/>
        <v>#DIV/0!</v>
      </c>
      <c r="G23" s="52" t="s">
        <v>121</v>
      </c>
      <c r="H23" s="34">
        <v>0</v>
      </c>
      <c r="I23" s="30">
        <v>0</v>
      </c>
      <c r="J23" s="30">
        <v>0</v>
      </c>
      <c r="K23" s="60" t="e">
        <f t="shared" si="2"/>
        <v>#DIV/0!</v>
      </c>
      <c r="L23" s="60" t="e">
        <f t="shared" si="3"/>
        <v>#DIV/0!</v>
      </c>
    </row>
    <row r="24" spans="1:12">
      <c r="A24" s="29" t="s">
        <v>33</v>
      </c>
      <c r="B24" s="36">
        <v>7502.88</v>
      </c>
      <c r="C24" s="30">
        <v>0</v>
      </c>
      <c r="D24" s="30">
        <v>0</v>
      </c>
      <c r="E24" s="60" t="e">
        <f t="shared" si="0"/>
        <v>#DIV/0!</v>
      </c>
      <c r="F24" s="60" t="e">
        <f t="shared" si="1"/>
        <v>#DIV/0!</v>
      </c>
      <c r="G24" s="37" t="s">
        <v>3</v>
      </c>
      <c r="H24" s="38">
        <f>SUM(H19:H23)</f>
        <v>12888.6</v>
      </c>
      <c r="I24" s="30">
        <v>0</v>
      </c>
      <c r="J24" s="30">
        <v>0</v>
      </c>
      <c r="K24" s="60" t="e">
        <f>SUM(K19:K23)</f>
        <v>#DIV/0!</v>
      </c>
      <c r="L24" s="60" t="e">
        <f t="shared" si="3"/>
        <v>#DIV/0!</v>
      </c>
    </row>
    <row r="25" spans="1:12">
      <c r="A25" s="39" t="s">
        <v>37</v>
      </c>
      <c r="B25" s="40">
        <f>SUM(B19:B24)</f>
        <v>34937.1</v>
      </c>
      <c r="C25" s="30">
        <v>0</v>
      </c>
      <c r="D25" s="30">
        <v>0</v>
      </c>
      <c r="E25" s="60" t="e">
        <f>SUM(E19:E24)</f>
        <v>#DIV/0!</v>
      </c>
      <c r="F25" s="60" t="e">
        <f t="shared" si="1"/>
        <v>#DIV/0!</v>
      </c>
      <c r="G25" s="31"/>
      <c r="H25" s="34"/>
      <c r="I25" s="30">
        <v>0</v>
      </c>
      <c r="J25" s="30">
        <v>0</v>
      </c>
      <c r="K25" s="60"/>
      <c r="L25" s="60"/>
    </row>
    <row r="26" spans="1:12">
      <c r="A26" s="29"/>
      <c r="B26" s="30"/>
      <c r="C26" s="30"/>
      <c r="D26" s="30"/>
      <c r="E26" s="60"/>
      <c r="F26" s="60"/>
      <c r="G26" s="29" t="s">
        <v>4</v>
      </c>
      <c r="H26" s="33"/>
      <c r="I26" s="30">
        <v>0</v>
      </c>
      <c r="J26" s="30">
        <v>0</v>
      </c>
      <c r="K26" s="60" t="e">
        <f>I26/I27</f>
        <v>#DIV/0!</v>
      </c>
      <c r="L26" s="60" t="e">
        <f t="shared" si="3"/>
        <v>#DIV/0!</v>
      </c>
    </row>
    <row r="27" spans="1:12">
      <c r="A27" s="35" t="s">
        <v>38</v>
      </c>
      <c r="B27" s="30">
        <v>12888.6</v>
      </c>
      <c r="C27" s="30">
        <v>0</v>
      </c>
      <c r="D27" s="30">
        <v>0</v>
      </c>
      <c r="E27" s="60" t="e">
        <f>C27/C91</f>
        <v>#DIV/0!</v>
      </c>
      <c r="F27" s="60" t="e">
        <f t="shared" si="1"/>
        <v>#DIV/0!</v>
      </c>
      <c r="G27" s="35" t="s">
        <v>79</v>
      </c>
      <c r="H27" s="34">
        <f>SUM(H24,H26)</f>
        <v>12888.6</v>
      </c>
      <c r="I27" s="30">
        <v>0</v>
      </c>
      <c r="J27" s="30">
        <v>0</v>
      </c>
      <c r="K27" s="60" t="e">
        <f>SUM(K24,K26)</f>
        <v>#DIV/0!</v>
      </c>
      <c r="L27" s="60"/>
    </row>
    <row r="28" spans="1:12">
      <c r="A28" s="29"/>
      <c r="B28" s="30"/>
      <c r="C28" s="30"/>
      <c r="D28" s="30"/>
      <c r="E28" s="60"/>
      <c r="F28" s="60"/>
      <c r="G28" s="29" t="s">
        <v>48</v>
      </c>
      <c r="H28" s="33">
        <v>95707.38</v>
      </c>
      <c r="I28" s="30">
        <v>0</v>
      </c>
      <c r="J28" s="30">
        <v>0</v>
      </c>
      <c r="K28" s="60" t="e">
        <f>I28/$I$30</f>
        <v>#DIV/0!</v>
      </c>
      <c r="L28" s="60" t="e">
        <f t="shared" si="3"/>
        <v>#DIV/0!</v>
      </c>
    </row>
    <row r="29" spans="1:12">
      <c r="A29" s="35" t="s">
        <v>39</v>
      </c>
      <c r="B29" s="36"/>
      <c r="C29" s="30"/>
      <c r="D29" s="30"/>
      <c r="E29" s="60"/>
      <c r="F29" s="60"/>
      <c r="G29" s="52" t="s">
        <v>49</v>
      </c>
      <c r="H29" s="34">
        <v>0</v>
      </c>
      <c r="I29" s="30">
        <v>0</v>
      </c>
      <c r="J29" s="30">
        <v>0</v>
      </c>
      <c r="K29" s="60" t="e">
        <f>I29/$I$30</f>
        <v>#DIV/0!</v>
      </c>
      <c r="L29" s="60" t="e">
        <f t="shared" si="3"/>
        <v>#DIV/0!</v>
      </c>
    </row>
    <row r="30" spans="1:12">
      <c r="A30" s="76" t="s">
        <v>126</v>
      </c>
      <c r="B30" s="78">
        <v>39</v>
      </c>
      <c r="C30" s="30">
        <v>0</v>
      </c>
      <c r="D30" s="30">
        <v>0</v>
      </c>
      <c r="E30" s="60" t="e">
        <f t="shared" ref="E30:E38" si="4">C30/$C$91</f>
        <v>#DIV/0!</v>
      </c>
      <c r="F30" s="60" t="e">
        <f t="shared" si="1"/>
        <v>#DIV/0!</v>
      </c>
      <c r="G30" s="41" t="s">
        <v>50</v>
      </c>
      <c r="H30" s="42">
        <f>SUM(H28:H29)</f>
        <v>95707.38</v>
      </c>
      <c r="I30" s="30">
        <v>0</v>
      </c>
      <c r="J30" s="30">
        <v>0</v>
      </c>
      <c r="K30" s="60" t="e">
        <f>SUM(K28:K29)</f>
        <v>#DIV/0!</v>
      </c>
      <c r="L30" s="60" t="e">
        <f t="shared" ref="L30:L32" si="5">((I30/J30)-1)</f>
        <v>#DIV/0!</v>
      </c>
    </row>
    <row r="31" spans="1:12">
      <c r="A31" s="97" t="s">
        <v>127</v>
      </c>
      <c r="B31" s="78">
        <v>39</v>
      </c>
      <c r="C31" s="30">
        <v>0</v>
      </c>
      <c r="D31" s="30">
        <v>0</v>
      </c>
      <c r="E31" s="60" t="e">
        <f t="shared" si="4"/>
        <v>#DIV/0!</v>
      </c>
      <c r="F31" s="60" t="e">
        <f t="shared" si="1"/>
        <v>#DIV/0!</v>
      </c>
      <c r="G31" s="98"/>
      <c r="H31" s="99"/>
      <c r="I31" s="36"/>
      <c r="J31" s="36"/>
      <c r="K31" s="100"/>
      <c r="L31" s="100"/>
    </row>
    <row r="32" spans="1:12">
      <c r="A32" s="77" t="s">
        <v>88</v>
      </c>
      <c r="B32" s="78">
        <v>89</v>
      </c>
      <c r="C32" s="30">
        <v>0</v>
      </c>
      <c r="D32" s="30">
        <v>0</v>
      </c>
      <c r="E32" s="60" t="e">
        <f t="shared" si="4"/>
        <v>#DIV/0!</v>
      </c>
      <c r="F32" s="60" t="e">
        <f t="shared" si="1"/>
        <v>#DIV/0!</v>
      </c>
      <c r="G32" s="94" t="s">
        <v>51</v>
      </c>
      <c r="H32" s="43">
        <f>SUM(H27,H30)</f>
        <v>108595.98000000001</v>
      </c>
      <c r="I32" s="88">
        <v>0</v>
      </c>
      <c r="J32" s="88">
        <v>0</v>
      </c>
      <c r="K32" s="89" t="e">
        <f>(K24+K30)</f>
        <v>#DIV/0!</v>
      </c>
      <c r="L32" s="89" t="e">
        <f t="shared" si="5"/>
        <v>#DIV/0!</v>
      </c>
    </row>
    <row r="33" spans="1:12">
      <c r="A33" s="77" t="s">
        <v>89</v>
      </c>
      <c r="B33" s="79">
        <v>499</v>
      </c>
      <c r="C33" s="30">
        <v>0</v>
      </c>
      <c r="D33" s="30">
        <v>0</v>
      </c>
      <c r="E33" s="60" t="e">
        <f t="shared" si="4"/>
        <v>#DIV/0!</v>
      </c>
      <c r="F33" s="95" t="e">
        <f t="shared" si="1"/>
        <v>#DIV/0!</v>
      </c>
      <c r="G33" s="92"/>
      <c r="H33" s="91"/>
      <c r="I33" s="85"/>
      <c r="J33" s="85"/>
      <c r="K33" s="87"/>
      <c r="L33" s="87"/>
    </row>
    <row r="34" spans="1:12">
      <c r="A34" s="77" t="s">
        <v>90</v>
      </c>
      <c r="B34" s="80">
        <v>90</v>
      </c>
      <c r="C34" s="30">
        <v>0</v>
      </c>
      <c r="D34" s="30">
        <v>0</v>
      </c>
      <c r="E34" s="60" t="e">
        <f t="shared" si="4"/>
        <v>#DIV/0!</v>
      </c>
      <c r="F34" s="90" t="e">
        <f t="shared" si="1"/>
        <v>#DIV/0!</v>
      </c>
      <c r="G34" s="96"/>
      <c r="H34" s="91"/>
      <c r="I34" s="85"/>
      <c r="J34" s="85"/>
      <c r="K34" s="87"/>
      <c r="L34" s="87"/>
    </row>
    <row r="35" spans="1:12">
      <c r="A35" s="77" t="s">
        <v>91</v>
      </c>
      <c r="B35" s="80">
        <v>70</v>
      </c>
      <c r="C35" s="30">
        <v>0</v>
      </c>
      <c r="D35" s="30">
        <v>0</v>
      </c>
      <c r="E35" s="60" t="e">
        <f t="shared" si="4"/>
        <v>#DIV/0!</v>
      </c>
      <c r="F35" s="90" t="e">
        <f t="shared" si="1"/>
        <v>#DIV/0!</v>
      </c>
      <c r="G35" s="96"/>
      <c r="H35" s="91"/>
      <c r="I35" s="85"/>
      <c r="J35" s="85"/>
      <c r="K35" s="87"/>
      <c r="L35" s="87"/>
    </row>
    <row r="36" spans="1:12">
      <c r="A36" s="77" t="s">
        <v>92</v>
      </c>
      <c r="B36" s="80">
        <v>249</v>
      </c>
      <c r="C36" s="30">
        <v>0</v>
      </c>
      <c r="D36" s="30">
        <v>0</v>
      </c>
      <c r="E36" s="60" t="e">
        <f t="shared" si="4"/>
        <v>#DIV/0!</v>
      </c>
      <c r="F36" s="95" t="e">
        <f t="shared" si="1"/>
        <v>#DIV/0!</v>
      </c>
      <c r="G36" s="92"/>
      <c r="H36" s="91"/>
      <c r="I36" s="85"/>
      <c r="J36" s="85"/>
      <c r="K36" s="87"/>
      <c r="L36" s="87"/>
    </row>
    <row r="37" spans="1:12">
      <c r="A37" s="77" t="s">
        <v>93</v>
      </c>
      <c r="B37" s="80">
        <v>139</v>
      </c>
      <c r="C37" s="30">
        <v>0</v>
      </c>
      <c r="D37" s="30">
        <v>0</v>
      </c>
      <c r="E37" s="60" t="e">
        <f t="shared" si="4"/>
        <v>#DIV/0!</v>
      </c>
      <c r="F37" s="95" t="e">
        <f t="shared" si="1"/>
        <v>#DIV/0!</v>
      </c>
      <c r="G37" s="92"/>
      <c r="H37" s="91"/>
      <c r="I37" s="85"/>
      <c r="J37" s="85"/>
      <c r="K37" s="87"/>
      <c r="L37" s="87"/>
    </row>
    <row r="38" spans="1:12">
      <c r="A38" s="77" t="s">
        <v>94</v>
      </c>
      <c r="B38" s="80">
        <v>379</v>
      </c>
      <c r="C38" s="30">
        <v>0</v>
      </c>
      <c r="D38" s="30">
        <v>0</v>
      </c>
      <c r="E38" s="60" t="e">
        <f t="shared" si="4"/>
        <v>#DIV/0!</v>
      </c>
      <c r="F38" s="95" t="e">
        <f t="shared" si="1"/>
        <v>#DIV/0!</v>
      </c>
      <c r="G38" s="92"/>
      <c r="H38" s="91"/>
      <c r="I38" s="85"/>
      <c r="J38" s="85"/>
      <c r="K38" s="87"/>
      <c r="L38" s="87"/>
    </row>
    <row r="39" spans="1:12">
      <c r="A39" s="77" t="s">
        <v>128</v>
      </c>
      <c r="B39" s="80">
        <v>250</v>
      </c>
      <c r="C39" s="30">
        <v>0</v>
      </c>
      <c r="D39" s="30">
        <v>0</v>
      </c>
      <c r="E39" s="60" t="e">
        <f t="shared" ref="E39:E42" si="6">C39/$C$91</f>
        <v>#DIV/0!</v>
      </c>
      <c r="F39" s="95" t="e">
        <f t="shared" si="1"/>
        <v>#DIV/0!</v>
      </c>
      <c r="G39" s="92"/>
      <c r="H39" s="91"/>
      <c r="I39" s="85"/>
      <c r="J39" s="85"/>
      <c r="K39" s="87"/>
      <c r="L39" s="87"/>
    </row>
    <row r="40" spans="1:12">
      <c r="A40" s="77" t="s">
        <v>129</v>
      </c>
      <c r="B40" s="80">
        <v>190</v>
      </c>
      <c r="C40" s="30">
        <v>0</v>
      </c>
      <c r="D40" s="30">
        <v>0</v>
      </c>
      <c r="E40" s="60" t="e">
        <f t="shared" si="6"/>
        <v>#DIV/0!</v>
      </c>
      <c r="F40" s="95" t="e">
        <f t="shared" si="1"/>
        <v>#DIV/0!</v>
      </c>
      <c r="G40" s="92"/>
      <c r="H40" s="91"/>
      <c r="I40" s="85"/>
      <c r="J40" s="85"/>
      <c r="K40" s="87"/>
      <c r="L40" s="87"/>
    </row>
    <row r="41" spans="1:12">
      <c r="A41" s="77" t="s">
        <v>130</v>
      </c>
      <c r="B41" s="80">
        <v>1500</v>
      </c>
      <c r="C41" s="30">
        <v>0</v>
      </c>
      <c r="D41" s="30">
        <v>0</v>
      </c>
      <c r="E41" s="60" t="e">
        <f t="shared" si="6"/>
        <v>#DIV/0!</v>
      </c>
      <c r="F41" s="95" t="e">
        <f t="shared" si="1"/>
        <v>#DIV/0!</v>
      </c>
      <c r="G41" s="92"/>
      <c r="H41" s="91"/>
      <c r="I41" s="85"/>
      <c r="J41" s="85"/>
      <c r="K41" s="87"/>
      <c r="L41" s="87"/>
    </row>
    <row r="42" spans="1:12">
      <c r="A42" s="77" t="s">
        <v>131</v>
      </c>
      <c r="B42" s="101">
        <v>896.17</v>
      </c>
      <c r="C42" s="30">
        <v>0</v>
      </c>
      <c r="D42" s="30">
        <v>0</v>
      </c>
      <c r="E42" s="60" t="e">
        <f t="shared" si="6"/>
        <v>#DIV/0!</v>
      </c>
      <c r="F42" s="95" t="e">
        <f t="shared" si="1"/>
        <v>#DIV/0!</v>
      </c>
      <c r="G42" s="92"/>
      <c r="H42" s="91"/>
      <c r="I42" s="85"/>
      <c r="J42" s="85"/>
      <c r="K42" s="87"/>
      <c r="L42" s="87"/>
    </row>
    <row r="43" spans="1:12">
      <c r="A43" s="77" t="s">
        <v>95</v>
      </c>
      <c r="B43" s="101">
        <v>699.75</v>
      </c>
      <c r="C43" s="30">
        <v>0</v>
      </c>
      <c r="D43" s="30">
        <v>0</v>
      </c>
      <c r="E43" s="60" t="e">
        <f t="shared" ref="E43:E55" si="7">C43/$C$91</f>
        <v>#DIV/0!</v>
      </c>
      <c r="F43" s="95" t="e">
        <f t="shared" si="1"/>
        <v>#DIV/0!</v>
      </c>
      <c r="G43" s="92"/>
      <c r="H43" s="91"/>
      <c r="I43" s="85"/>
      <c r="J43" s="85"/>
      <c r="K43" s="87"/>
      <c r="L43" s="87"/>
    </row>
    <row r="44" spans="1:12">
      <c r="A44" s="77" t="s">
        <v>96</v>
      </c>
      <c r="B44" s="102">
        <v>108.54</v>
      </c>
      <c r="C44" s="30">
        <v>0</v>
      </c>
      <c r="D44" s="30">
        <v>0</v>
      </c>
      <c r="E44" s="60" t="e">
        <f t="shared" si="7"/>
        <v>#DIV/0!</v>
      </c>
      <c r="F44" s="95" t="e">
        <f t="shared" si="1"/>
        <v>#DIV/0!</v>
      </c>
      <c r="G44" s="92"/>
      <c r="H44" s="91"/>
      <c r="I44" s="85"/>
      <c r="J44" s="85"/>
      <c r="K44" s="87"/>
      <c r="L44" s="87"/>
    </row>
    <row r="45" spans="1:12">
      <c r="A45" s="77" t="s">
        <v>97</v>
      </c>
      <c r="B45" s="102">
        <v>267.89999999999998</v>
      </c>
      <c r="C45" s="30">
        <v>0</v>
      </c>
      <c r="D45" s="30">
        <v>0</v>
      </c>
      <c r="E45" s="60" t="e">
        <f t="shared" si="7"/>
        <v>#DIV/0!</v>
      </c>
      <c r="F45" s="95" t="e">
        <f t="shared" si="1"/>
        <v>#DIV/0!</v>
      </c>
      <c r="G45" s="92"/>
      <c r="H45" s="91"/>
      <c r="I45" s="85"/>
      <c r="J45" s="85"/>
      <c r="K45" s="87"/>
      <c r="L45" s="87"/>
    </row>
    <row r="46" spans="1:12">
      <c r="A46" s="81" t="s">
        <v>98</v>
      </c>
      <c r="B46" s="103">
        <v>267.89999999999998</v>
      </c>
      <c r="C46" s="30">
        <v>0</v>
      </c>
      <c r="D46" s="30">
        <v>0</v>
      </c>
      <c r="E46" s="60" t="e">
        <f t="shared" si="7"/>
        <v>#DIV/0!</v>
      </c>
      <c r="F46" s="95" t="e">
        <f t="shared" si="1"/>
        <v>#DIV/0!</v>
      </c>
      <c r="G46" s="92"/>
      <c r="H46" s="91"/>
      <c r="I46" s="85"/>
      <c r="J46" s="85"/>
      <c r="K46" s="87"/>
      <c r="L46" s="87"/>
    </row>
    <row r="47" spans="1:12">
      <c r="A47" s="81" t="s">
        <v>99</v>
      </c>
      <c r="B47" s="104">
        <v>291.07</v>
      </c>
      <c r="C47" s="30">
        <v>0</v>
      </c>
      <c r="D47" s="30">
        <v>0</v>
      </c>
      <c r="E47" s="60" t="e">
        <f t="shared" si="7"/>
        <v>#DIV/0!</v>
      </c>
      <c r="F47" s="95" t="e">
        <f t="shared" si="1"/>
        <v>#DIV/0!</v>
      </c>
      <c r="G47" s="92"/>
      <c r="H47" s="91"/>
      <c r="I47" s="85"/>
      <c r="J47" s="85"/>
      <c r="K47" s="87"/>
      <c r="L47" s="87"/>
    </row>
    <row r="48" spans="1:12">
      <c r="A48" s="81" t="s">
        <v>100</v>
      </c>
      <c r="B48" s="104">
        <v>155.85</v>
      </c>
      <c r="C48" s="30">
        <v>0</v>
      </c>
      <c r="D48" s="30">
        <v>0</v>
      </c>
      <c r="E48" s="60" t="e">
        <f t="shared" si="7"/>
        <v>#DIV/0!</v>
      </c>
      <c r="F48" s="95" t="e">
        <f t="shared" si="1"/>
        <v>#DIV/0!</v>
      </c>
      <c r="G48" s="92"/>
      <c r="H48" s="91"/>
      <c r="I48" s="85"/>
      <c r="J48" s="85"/>
      <c r="K48" s="87"/>
      <c r="L48" s="87"/>
    </row>
    <row r="49" spans="1:12">
      <c r="A49" s="81" t="s">
        <v>101</v>
      </c>
      <c r="B49" s="104">
        <v>74.58</v>
      </c>
      <c r="C49" s="30">
        <v>0</v>
      </c>
      <c r="D49" s="30">
        <v>0</v>
      </c>
      <c r="E49" s="60" t="e">
        <f t="shared" si="7"/>
        <v>#DIV/0!</v>
      </c>
      <c r="F49" s="95" t="e">
        <f t="shared" si="1"/>
        <v>#DIV/0!</v>
      </c>
      <c r="G49" s="92"/>
      <c r="H49" s="91"/>
      <c r="I49" s="85"/>
      <c r="J49" s="85"/>
      <c r="K49" s="87"/>
      <c r="L49" s="87"/>
    </row>
    <row r="50" spans="1:12">
      <c r="A50" s="81" t="s">
        <v>132</v>
      </c>
      <c r="B50" s="104">
        <v>211.09</v>
      </c>
      <c r="C50" s="30">
        <v>0</v>
      </c>
      <c r="D50" s="30">
        <v>0</v>
      </c>
      <c r="E50" s="60" t="e">
        <f t="shared" si="7"/>
        <v>#DIV/0!</v>
      </c>
      <c r="F50" s="95" t="e">
        <f t="shared" si="1"/>
        <v>#DIV/0!</v>
      </c>
      <c r="G50" s="92"/>
      <c r="H50" s="91"/>
      <c r="I50" s="85"/>
      <c r="J50" s="85"/>
      <c r="K50" s="87"/>
      <c r="L50" s="87"/>
    </row>
    <row r="51" spans="1:12">
      <c r="A51" s="81" t="s">
        <v>102</v>
      </c>
      <c r="B51" s="104">
        <v>238.07</v>
      </c>
      <c r="C51" s="30">
        <v>0</v>
      </c>
      <c r="D51" s="30">
        <v>0</v>
      </c>
      <c r="E51" s="60" t="e">
        <f t="shared" si="7"/>
        <v>#DIV/0!</v>
      </c>
      <c r="F51" s="95" t="e">
        <f t="shared" si="1"/>
        <v>#DIV/0!</v>
      </c>
      <c r="G51" s="92"/>
      <c r="H51" s="91"/>
      <c r="I51" s="85"/>
      <c r="J51" s="85"/>
      <c r="K51" s="87"/>
      <c r="L51" s="87"/>
    </row>
    <row r="52" spans="1:12">
      <c r="A52" s="81" t="s">
        <v>103</v>
      </c>
      <c r="B52" s="104">
        <v>1037.69</v>
      </c>
      <c r="C52" s="30">
        <v>0</v>
      </c>
      <c r="D52" s="30">
        <v>0</v>
      </c>
      <c r="E52" s="60" t="e">
        <f t="shared" si="7"/>
        <v>#DIV/0!</v>
      </c>
      <c r="F52" s="95" t="e">
        <f t="shared" si="1"/>
        <v>#DIV/0!</v>
      </c>
      <c r="G52" s="92"/>
      <c r="H52" s="91"/>
      <c r="I52" s="85"/>
      <c r="J52" s="85"/>
      <c r="K52" s="87"/>
      <c r="L52" s="87"/>
    </row>
    <row r="53" spans="1:12">
      <c r="A53" s="81" t="s">
        <v>104</v>
      </c>
      <c r="B53" s="101">
        <v>301.19</v>
      </c>
      <c r="C53" s="30">
        <v>0</v>
      </c>
      <c r="D53" s="30">
        <v>0</v>
      </c>
      <c r="E53" s="60" t="e">
        <f t="shared" si="7"/>
        <v>#DIV/0!</v>
      </c>
      <c r="F53" s="95" t="e">
        <f t="shared" si="1"/>
        <v>#DIV/0!</v>
      </c>
      <c r="G53" s="92"/>
      <c r="H53" s="91"/>
      <c r="I53" s="85"/>
      <c r="J53" s="85"/>
      <c r="K53" s="87"/>
      <c r="L53" s="87"/>
    </row>
    <row r="54" spans="1:12">
      <c r="A54" s="81" t="s">
        <v>105</v>
      </c>
      <c r="B54" s="102">
        <v>178.58</v>
      </c>
      <c r="C54" s="30">
        <v>0</v>
      </c>
      <c r="D54" s="30">
        <v>0</v>
      </c>
      <c r="E54" s="60" t="e">
        <f t="shared" si="7"/>
        <v>#DIV/0!</v>
      </c>
      <c r="F54" s="95" t="e">
        <f t="shared" si="1"/>
        <v>#DIV/0!</v>
      </c>
      <c r="G54" s="92"/>
      <c r="H54" s="91"/>
      <c r="I54" s="85"/>
      <c r="J54" s="85"/>
      <c r="K54" s="87"/>
      <c r="L54" s="87"/>
    </row>
    <row r="55" spans="1:12">
      <c r="A55" s="81" t="s">
        <v>106</v>
      </c>
      <c r="B55" s="103">
        <v>588.9</v>
      </c>
      <c r="C55" s="30">
        <v>0</v>
      </c>
      <c r="D55" s="30">
        <v>0</v>
      </c>
      <c r="E55" s="60" t="e">
        <f t="shared" si="7"/>
        <v>#DIV/0!</v>
      </c>
      <c r="F55" s="95" t="e">
        <f t="shared" si="1"/>
        <v>#DIV/0!</v>
      </c>
      <c r="G55" s="92"/>
      <c r="H55" s="91"/>
      <c r="I55" s="85"/>
      <c r="J55" s="85"/>
      <c r="K55" s="87"/>
      <c r="L55" s="87"/>
    </row>
    <row r="56" spans="1:12">
      <c r="A56" s="105" t="s">
        <v>133</v>
      </c>
      <c r="B56" s="109">
        <v>25</v>
      </c>
      <c r="C56" s="30">
        <v>0</v>
      </c>
      <c r="D56" s="30">
        <v>0</v>
      </c>
      <c r="E56" s="60" t="e">
        <f t="shared" ref="E56:E63" si="8">C56/$C$91</f>
        <v>#DIV/0!</v>
      </c>
      <c r="F56" s="95" t="e">
        <f t="shared" si="1"/>
        <v>#DIV/0!</v>
      </c>
      <c r="G56" s="92"/>
      <c r="H56" s="91"/>
      <c r="I56" s="85"/>
      <c r="J56" s="85"/>
      <c r="K56" s="87"/>
      <c r="L56" s="87"/>
    </row>
    <row r="57" spans="1:12">
      <c r="A57" s="105" t="s">
        <v>134</v>
      </c>
      <c r="B57" s="109">
        <v>425</v>
      </c>
      <c r="C57" s="30">
        <v>0</v>
      </c>
      <c r="D57" s="30">
        <v>0</v>
      </c>
      <c r="E57" s="60" t="e">
        <f t="shared" si="8"/>
        <v>#DIV/0!</v>
      </c>
      <c r="F57" s="95" t="e">
        <f t="shared" si="1"/>
        <v>#DIV/0!</v>
      </c>
      <c r="G57" s="92"/>
      <c r="H57" s="91"/>
      <c r="I57" s="85"/>
      <c r="J57" s="85"/>
      <c r="K57" s="87"/>
      <c r="L57" s="87"/>
    </row>
    <row r="58" spans="1:12">
      <c r="A58" s="105" t="s">
        <v>135</v>
      </c>
      <c r="B58" s="109">
        <v>70</v>
      </c>
      <c r="C58" s="30">
        <v>0</v>
      </c>
      <c r="D58" s="30">
        <v>0</v>
      </c>
      <c r="E58" s="60" t="e">
        <f t="shared" si="8"/>
        <v>#DIV/0!</v>
      </c>
      <c r="F58" s="95" t="e">
        <f t="shared" si="1"/>
        <v>#DIV/0!</v>
      </c>
      <c r="G58" s="92"/>
      <c r="H58" s="91"/>
      <c r="I58" s="85"/>
      <c r="J58" s="85"/>
      <c r="K58" s="87"/>
      <c r="L58" s="87"/>
    </row>
    <row r="59" spans="1:12">
      <c r="A59" s="105" t="s">
        <v>136</v>
      </c>
      <c r="B59" s="109">
        <v>90</v>
      </c>
      <c r="C59" s="30">
        <v>0</v>
      </c>
      <c r="D59" s="30">
        <v>0</v>
      </c>
      <c r="E59" s="60" t="e">
        <f t="shared" si="8"/>
        <v>#DIV/0!</v>
      </c>
      <c r="F59" s="95" t="e">
        <f t="shared" si="1"/>
        <v>#DIV/0!</v>
      </c>
      <c r="G59" s="92"/>
      <c r="H59" s="91"/>
      <c r="I59" s="85"/>
      <c r="J59" s="85"/>
      <c r="K59" s="87"/>
      <c r="L59" s="87"/>
    </row>
    <row r="60" spans="1:12">
      <c r="A60" s="105" t="s">
        <v>137</v>
      </c>
      <c r="B60" s="108">
        <v>100</v>
      </c>
      <c r="C60" s="30">
        <v>0</v>
      </c>
      <c r="D60" s="30">
        <v>0</v>
      </c>
      <c r="E60" s="60" t="e">
        <f t="shared" si="8"/>
        <v>#DIV/0!</v>
      </c>
      <c r="F60" s="95" t="e">
        <f t="shared" si="1"/>
        <v>#DIV/0!</v>
      </c>
      <c r="G60" s="92"/>
      <c r="H60" s="91"/>
      <c r="I60" s="85"/>
      <c r="J60" s="85"/>
      <c r="K60" s="87"/>
      <c r="L60" s="87"/>
    </row>
    <row r="61" spans="1:12">
      <c r="A61" s="105" t="s">
        <v>138</v>
      </c>
      <c r="B61" s="107">
        <v>20</v>
      </c>
      <c r="C61" s="30">
        <v>0</v>
      </c>
      <c r="D61" s="30">
        <v>0</v>
      </c>
      <c r="E61" s="60" t="e">
        <f t="shared" si="8"/>
        <v>#DIV/0!</v>
      </c>
      <c r="F61" s="95" t="e">
        <f t="shared" si="1"/>
        <v>#DIV/0!</v>
      </c>
      <c r="G61" s="92"/>
      <c r="H61" s="91"/>
      <c r="I61" s="85"/>
      <c r="J61" s="85"/>
      <c r="K61" s="87"/>
      <c r="L61" s="87"/>
    </row>
    <row r="62" spans="1:12">
      <c r="A62" s="105" t="s">
        <v>139</v>
      </c>
      <c r="B62" s="108">
        <v>150</v>
      </c>
      <c r="C62" s="30">
        <v>0</v>
      </c>
      <c r="D62" s="30">
        <v>0</v>
      </c>
      <c r="E62" s="60" t="e">
        <f t="shared" si="8"/>
        <v>#DIV/0!</v>
      </c>
      <c r="F62" s="95" t="e">
        <f t="shared" si="1"/>
        <v>#DIV/0!</v>
      </c>
      <c r="G62" s="92"/>
      <c r="H62" s="91"/>
      <c r="I62" s="85"/>
      <c r="J62" s="85"/>
      <c r="K62" s="87"/>
      <c r="L62" s="87"/>
    </row>
    <row r="63" spans="1:12">
      <c r="A63" s="105" t="s">
        <v>140</v>
      </c>
      <c r="B63" s="108">
        <v>300</v>
      </c>
      <c r="C63" s="30">
        <v>0</v>
      </c>
      <c r="D63" s="30">
        <v>0</v>
      </c>
      <c r="E63" s="60" t="e">
        <f t="shared" si="8"/>
        <v>#DIV/0!</v>
      </c>
      <c r="F63" s="95" t="e">
        <f t="shared" si="1"/>
        <v>#DIV/0!</v>
      </c>
      <c r="G63" s="92"/>
      <c r="H63" s="91"/>
      <c r="I63" s="85"/>
      <c r="J63" s="85"/>
      <c r="K63" s="87"/>
      <c r="L63" s="87"/>
    </row>
    <row r="64" spans="1:12">
      <c r="A64" s="81" t="s">
        <v>107</v>
      </c>
      <c r="B64" s="106">
        <v>3000</v>
      </c>
      <c r="C64" s="30">
        <v>0</v>
      </c>
      <c r="D64" s="30">
        <v>0</v>
      </c>
      <c r="E64" s="60" t="e">
        <f t="shared" ref="E64:E79" si="9">C64/$C$91</f>
        <v>#DIV/0!</v>
      </c>
      <c r="F64" s="95" t="e">
        <f t="shared" si="1"/>
        <v>#DIV/0!</v>
      </c>
      <c r="G64" s="92"/>
      <c r="H64" s="91"/>
      <c r="I64" s="85"/>
      <c r="J64" s="85"/>
      <c r="K64" s="87"/>
      <c r="L64" s="87"/>
    </row>
    <row r="65" spans="1:12">
      <c r="A65" s="81" t="s">
        <v>108</v>
      </c>
      <c r="B65" s="80">
        <v>600</v>
      </c>
      <c r="C65" s="30">
        <v>0</v>
      </c>
      <c r="D65" s="30">
        <v>0</v>
      </c>
      <c r="E65" s="60" t="e">
        <f t="shared" si="9"/>
        <v>#DIV/0!</v>
      </c>
      <c r="F65" s="95" t="e">
        <f t="shared" si="1"/>
        <v>#DIV/0!</v>
      </c>
      <c r="G65" s="92"/>
      <c r="H65" s="91"/>
      <c r="I65" s="85"/>
      <c r="J65" s="85"/>
      <c r="K65" s="87"/>
      <c r="L65" s="87"/>
    </row>
    <row r="66" spans="1:12">
      <c r="A66" s="81" t="s">
        <v>109</v>
      </c>
      <c r="B66" s="80">
        <v>100</v>
      </c>
      <c r="C66" s="30">
        <v>0</v>
      </c>
      <c r="D66" s="30">
        <v>0</v>
      </c>
      <c r="E66" s="60" t="e">
        <f t="shared" si="9"/>
        <v>#DIV/0!</v>
      </c>
      <c r="F66" s="95" t="e">
        <f t="shared" si="1"/>
        <v>#DIV/0!</v>
      </c>
      <c r="G66" s="92"/>
      <c r="H66" s="91"/>
      <c r="I66" s="85"/>
      <c r="J66" s="85"/>
      <c r="K66" s="87"/>
      <c r="L66" s="87"/>
    </row>
    <row r="67" spans="1:12">
      <c r="A67" s="81" t="s">
        <v>110</v>
      </c>
      <c r="B67" s="80">
        <v>100</v>
      </c>
      <c r="C67" s="30">
        <v>0</v>
      </c>
      <c r="D67" s="30">
        <v>0</v>
      </c>
      <c r="E67" s="60" t="e">
        <f t="shared" si="9"/>
        <v>#DIV/0!</v>
      </c>
      <c r="F67" s="95" t="e">
        <f t="shared" si="1"/>
        <v>#DIV/0!</v>
      </c>
      <c r="G67" s="92"/>
      <c r="H67" s="91"/>
      <c r="I67" s="85"/>
      <c r="J67" s="85"/>
      <c r="K67" s="87"/>
      <c r="L67" s="87"/>
    </row>
    <row r="68" spans="1:12">
      <c r="A68" s="81" t="s">
        <v>111</v>
      </c>
      <c r="B68" s="80">
        <v>100</v>
      </c>
      <c r="C68" s="30">
        <v>0</v>
      </c>
      <c r="D68" s="30">
        <v>0</v>
      </c>
      <c r="E68" s="60" t="e">
        <f t="shared" si="9"/>
        <v>#DIV/0!</v>
      </c>
      <c r="F68" s="95" t="e">
        <f t="shared" si="1"/>
        <v>#DIV/0!</v>
      </c>
      <c r="G68" s="92"/>
      <c r="H68" s="91"/>
      <c r="I68" s="85"/>
      <c r="J68" s="85"/>
      <c r="K68" s="87"/>
      <c r="L68" s="87"/>
    </row>
    <row r="69" spans="1:12">
      <c r="A69" s="81" t="s">
        <v>112</v>
      </c>
      <c r="B69" s="80">
        <v>1000</v>
      </c>
      <c r="C69" s="30">
        <v>0</v>
      </c>
      <c r="D69" s="30">
        <v>0</v>
      </c>
      <c r="E69" s="60" t="e">
        <f t="shared" si="9"/>
        <v>#DIV/0!</v>
      </c>
      <c r="F69" s="95" t="e">
        <f t="shared" si="1"/>
        <v>#DIV/0!</v>
      </c>
      <c r="G69" s="92"/>
      <c r="H69" s="91"/>
      <c r="I69" s="85"/>
      <c r="J69" s="85"/>
      <c r="K69" s="87"/>
      <c r="L69" s="87"/>
    </row>
    <row r="70" spans="1:12">
      <c r="A70" s="81" t="s">
        <v>113</v>
      </c>
      <c r="B70" s="80">
        <v>1000</v>
      </c>
      <c r="C70" s="30">
        <v>0</v>
      </c>
      <c r="D70" s="30">
        <v>0</v>
      </c>
      <c r="E70" s="60" t="e">
        <f t="shared" si="9"/>
        <v>#DIV/0!</v>
      </c>
      <c r="F70" s="95" t="e">
        <f t="shared" si="1"/>
        <v>#DIV/0!</v>
      </c>
      <c r="G70" s="92"/>
      <c r="H70" s="91"/>
      <c r="I70" s="85"/>
      <c r="J70" s="85"/>
      <c r="K70" s="87"/>
      <c r="L70" s="87"/>
    </row>
    <row r="71" spans="1:12">
      <c r="A71" s="81" t="s">
        <v>114</v>
      </c>
      <c r="B71" s="80">
        <v>400</v>
      </c>
      <c r="C71" s="30">
        <v>0</v>
      </c>
      <c r="D71" s="30">
        <v>0</v>
      </c>
      <c r="E71" s="60" t="e">
        <f t="shared" si="9"/>
        <v>#DIV/0!</v>
      </c>
      <c r="F71" s="95" t="e">
        <f t="shared" si="1"/>
        <v>#DIV/0!</v>
      </c>
      <c r="G71" s="92"/>
      <c r="H71" s="91"/>
      <c r="I71" s="85"/>
      <c r="J71" s="85"/>
      <c r="K71" s="87"/>
      <c r="L71" s="87"/>
    </row>
    <row r="72" spans="1:12">
      <c r="A72" s="81" t="s">
        <v>115</v>
      </c>
      <c r="B72" s="80">
        <v>10000</v>
      </c>
      <c r="C72" s="30">
        <v>0</v>
      </c>
      <c r="D72" s="30">
        <v>0</v>
      </c>
      <c r="E72" s="60" t="e">
        <f t="shared" si="9"/>
        <v>#DIV/0!</v>
      </c>
      <c r="F72" s="95" t="e">
        <f t="shared" si="1"/>
        <v>#DIV/0!</v>
      </c>
      <c r="G72" s="92"/>
      <c r="H72" s="91"/>
      <c r="I72" s="85"/>
      <c r="J72" s="85"/>
      <c r="K72" s="87"/>
      <c r="L72" s="87"/>
    </row>
    <row r="73" spans="1:12">
      <c r="A73" s="81" t="s">
        <v>116</v>
      </c>
      <c r="B73" s="80">
        <v>2500</v>
      </c>
      <c r="C73" s="30">
        <v>0</v>
      </c>
      <c r="D73" s="30">
        <v>0</v>
      </c>
      <c r="E73" s="60" t="e">
        <f t="shared" si="9"/>
        <v>#DIV/0!</v>
      </c>
      <c r="F73" s="95" t="e">
        <f t="shared" si="1"/>
        <v>#DIV/0!</v>
      </c>
      <c r="G73" s="92"/>
      <c r="H73" s="91"/>
      <c r="I73" s="85"/>
      <c r="J73" s="85"/>
      <c r="K73" s="87"/>
      <c r="L73" s="87"/>
    </row>
    <row r="74" spans="1:12">
      <c r="A74" s="81" t="s">
        <v>117</v>
      </c>
      <c r="B74" s="80">
        <v>1000</v>
      </c>
      <c r="C74" s="30">
        <v>0</v>
      </c>
      <c r="D74" s="30">
        <v>0</v>
      </c>
      <c r="E74" s="60" t="e">
        <f t="shared" si="9"/>
        <v>#DIV/0!</v>
      </c>
      <c r="F74" s="95" t="e">
        <f t="shared" si="1"/>
        <v>#DIV/0!</v>
      </c>
      <c r="G74" s="92"/>
      <c r="H74" s="91"/>
      <c r="I74" s="85"/>
      <c r="J74" s="85"/>
      <c r="K74" s="87"/>
      <c r="L74" s="87"/>
    </row>
    <row r="75" spans="1:12">
      <c r="A75" s="81" t="s">
        <v>80</v>
      </c>
      <c r="B75" s="80">
        <v>3000</v>
      </c>
      <c r="C75" s="30">
        <v>0</v>
      </c>
      <c r="D75" s="30">
        <v>0</v>
      </c>
      <c r="E75" s="60" t="e">
        <f t="shared" si="9"/>
        <v>#DIV/0!</v>
      </c>
      <c r="F75" s="95" t="e">
        <f t="shared" si="1"/>
        <v>#DIV/0!</v>
      </c>
      <c r="G75" s="92"/>
      <c r="H75" s="91"/>
      <c r="I75" s="85"/>
      <c r="J75" s="85"/>
      <c r="K75" s="87"/>
      <c r="L75" s="87"/>
    </row>
    <row r="76" spans="1:12">
      <c r="A76" s="81" t="s">
        <v>7</v>
      </c>
      <c r="B76" s="80">
        <v>3000</v>
      </c>
      <c r="C76" s="12">
        <v>0</v>
      </c>
      <c r="D76" s="30">
        <v>0</v>
      </c>
      <c r="E76" s="60" t="e">
        <f t="shared" si="9"/>
        <v>#DIV/0!</v>
      </c>
      <c r="F76" s="95" t="e">
        <f t="shared" si="1"/>
        <v>#DIV/0!</v>
      </c>
      <c r="G76" s="93"/>
      <c r="H76" s="86"/>
      <c r="I76" s="85"/>
      <c r="J76" s="85"/>
      <c r="K76" s="87"/>
      <c r="L76" s="87"/>
    </row>
    <row r="77" spans="1:12">
      <c r="A77" s="81" t="s">
        <v>8</v>
      </c>
      <c r="B77" s="80">
        <v>3000</v>
      </c>
      <c r="C77" s="12">
        <v>0</v>
      </c>
      <c r="D77" s="30">
        <v>0</v>
      </c>
      <c r="E77" s="60" t="e">
        <f t="shared" si="9"/>
        <v>#DIV/0!</v>
      </c>
      <c r="F77" s="95" t="e">
        <f t="shared" si="1"/>
        <v>#DIV/0!</v>
      </c>
      <c r="G77" s="93"/>
      <c r="H77" s="86"/>
      <c r="I77" s="85"/>
      <c r="J77" s="85"/>
      <c r="K77" s="87"/>
      <c r="L77" s="87"/>
    </row>
    <row r="78" spans="1:12">
      <c r="A78" s="81" t="s">
        <v>118</v>
      </c>
      <c r="B78" s="80">
        <v>1000</v>
      </c>
      <c r="C78" s="12">
        <v>0</v>
      </c>
      <c r="D78" s="30">
        <v>0</v>
      </c>
      <c r="E78" s="60" t="e">
        <f t="shared" si="9"/>
        <v>#DIV/0!</v>
      </c>
      <c r="F78" s="60" t="e">
        <f t="shared" si="1"/>
        <v>#DIV/0!</v>
      </c>
      <c r="G78" s="26"/>
      <c r="H78" s="23"/>
      <c r="I78" s="26"/>
      <c r="J78" s="26"/>
      <c r="K78" s="26"/>
      <c r="L78" s="26"/>
    </row>
    <row r="79" spans="1:12">
      <c r="A79" s="81" t="s">
        <v>81</v>
      </c>
      <c r="B79" s="80">
        <v>1000</v>
      </c>
      <c r="C79" s="12">
        <v>0</v>
      </c>
      <c r="D79" s="30">
        <v>0</v>
      </c>
      <c r="E79" s="60" t="e">
        <f t="shared" si="9"/>
        <v>#DIV/0!</v>
      </c>
      <c r="F79" s="60" t="e">
        <f t="shared" si="1"/>
        <v>#DIV/0!</v>
      </c>
      <c r="G79" s="26"/>
      <c r="H79" s="23"/>
      <c r="I79" s="26"/>
      <c r="J79" s="26"/>
      <c r="K79" s="26"/>
      <c r="L79" s="26"/>
    </row>
    <row r="80" spans="1:12">
      <c r="A80" s="81" t="s">
        <v>119</v>
      </c>
      <c r="B80" s="80">
        <v>7000</v>
      </c>
      <c r="C80" s="12">
        <v>0</v>
      </c>
      <c r="D80" s="30">
        <v>0</v>
      </c>
      <c r="E80" s="60" t="e">
        <f t="shared" ref="E80:E81" si="10">C80/$C$91</f>
        <v>#DIV/0!</v>
      </c>
      <c r="F80" s="60" t="e">
        <f t="shared" si="1"/>
        <v>#DIV/0!</v>
      </c>
      <c r="G80" s="26"/>
      <c r="H80" s="23"/>
      <c r="I80" s="26"/>
      <c r="J80" s="26"/>
      <c r="K80" s="26"/>
      <c r="L80" s="26"/>
    </row>
    <row r="81" spans="1:12">
      <c r="A81" s="81" t="s">
        <v>12</v>
      </c>
      <c r="B81" s="80">
        <v>3000</v>
      </c>
      <c r="C81" s="12">
        <v>0</v>
      </c>
      <c r="D81" s="30">
        <v>0</v>
      </c>
      <c r="E81" s="60" t="e">
        <f t="shared" si="10"/>
        <v>#DIV/0!</v>
      </c>
      <c r="F81" s="60" t="e">
        <f t="shared" si="1"/>
        <v>#DIV/0!</v>
      </c>
      <c r="G81" s="26"/>
      <c r="H81" s="23"/>
      <c r="I81" s="26"/>
      <c r="J81" s="26"/>
      <c r="K81" s="26"/>
      <c r="L81" s="26"/>
    </row>
    <row r="82" spans="1:12">
      <c r="A82" s="81" t="s">
        <v>13</v>
      </c>
      <c r="B82" s="80">
        <v>1000</v>
      </c>
      <c r="C82" s="12">
        <v>0</v>
      </c>
      <c r="D82" s="30">
        <v>0</v>
      </c>
      <c r="E82" s="60" t="e">
        <f t="shared" ref="E82:E89" si="11">C82/$C$91</f>
        <v>#DIV/0!</v>
      </c>
      <c r="F82" s="60" t="e">
        <f t="shared" si="1"/>
        <v>#DIV/0!</v>
      </c>
      <c r="G82" s="61"/>
      <c r="H82" s="23"/>
      <c r="I82" s="26"/>
      <c r="J82" s="26"/>
      <c r="K82" s="26"/>
      <c r="L82" s="26"/>
    </row>
    <row r="83" spans="1:12">
      <c r="A83" s="81" t="s">
        <v>9</v>
      </c>
      <c r="B83" s="80">
        <v>1500</v>
      </c>
      <c r="C83" s="12">
        <v>0</v>
      </c>
      <c r="D83" s="30">
        <v>0</v>
      </c>
      <c r="E83" s="60" t="e">
        <f t="shared" si="11"/>
        <v>#DIV/0!</v>
      </c>
      <c r="F83" s="60" t="e">
        <f t="shared" si="1"/>
        <v>#DIV/0!</v>
      </c>
      <c r="G83" s="26"/>
      <c r="H83" s="23"/>
      <c r="I83" s="26"/>
      <c r="J83" s="26"/>
      <c r="K83" s="26"/>
      <c r="L83" s="26"/>
    </row>
    <row r="84" spans="1:12">
      <c r="A84" s="81" t="s">
        <v>120</v>
      </c>
      <c r="B84" s="80">
        <v>1140</v>
      </c>
      <c r="C84" s="12">
        <v>0</v>
      </c>
      <c r="D84" s="30">
        <v>0</v>
      </c>
      <c r="E84" s="60" t="e">
        <f t="shared" si="11"/>
        <v>#DIV/0!</v>
      </c>
      <c r="F84" s="60" t="e">
        <f t="shared" si="1"/>
        <v>#DIV/0!</v>
      </c>
      <c r="G84" s="26"/>
      <c r="H84" s="23"/>
      <c r="I84" s="26"/>
      <c r="J84" s="26"/>
      <c r="K84" s="26"/>
      <c r="L84" s="26"/>
    </row>
    <row r="85" spans="1:12">
      <c r="A85" s="81" t="s">
        <v>10</v>
      </c>
      <c r="B85" s="80">
        <v>500</v>
      </c>
      <c r="C85" s="12">
        <v>0</v>
      </c>
      <c r="D85" s="30">
        <v>0</v>
      </c>
      <c r="E85" s="60" t="e">
        <f t="shared" si="11"/>
        <v>#DIV/0!</v>
      </c>
      <c r="F85" s="60" t="e">
        <f t="shared" si="1"/>
        <v>#DIV/0!</v>
      </c>
      <c r="G85" s="26"/>
      <c r="H85" s="23"/>
      <c r="I85" s="26"/>
      <c r="J85" s="26"/>
      <c r="K85" s="26"/>
      <c r="L85" s="26"/>
    </row>
    <row r="86" spans="1:12">
      <c r="A86" s="81" t="s">
        <v>85</v>
      </c>
      <c r="B86" s="80">
        <v>1300</v>
      </c>
      <c r="C86" s="12">
        <v>0</v>
      </c>
      <c r="D86" s="30">
        <v>0</v>
      </c>
      <c r="E86" s="60" t="e">
        <f t="shared" si="11"/>
        <v>#DIV/0!</v>
      </c>
      <c r="F86" s="60" t="e">
        <f t="shared" si="1"/>
        <v>#DIV/0!</v>
      </c>
      <c r="G86" s="26"/>
      <c r="H86" s="23"/>
      <c r="I86" s="26"/>
      <c r="J86" s="26"/>
      <c r="K86" s="26"/>
      <c r="L86" s="26"/>
    </row>
    <row r="87" spans="1:12">
      <c r="A87" s="81" t="s">
        <v>86</v>
      </c>
      <c r="B87" s="80">
        <v>4000</v>
      </c>
      <c r="C87" s="12">
        <v>0</v>
      </c>
      <c r="D87" s="30">
        <v>0</v>
      </c>
      <c r="E87" s="60" t="e">
        <f t="shared" si="11"/>
        <v>#DIV/0!</v>
      </c>
      <c r="F87" s="60" t="e">
        <f t="shared" si="1"/>
        <v>#DIV/0!</v>
      </c>
      <c r="G87" s="26"/>
      <c r="H87" s="23"/>
      <c r="I87" s="26"/>
      <c r="J87" s="26"/>
      <c r="K87" s="26"/>
      <c r="L87" s="26"/>
    </row>
    <row r="88" spans="1:12">
      <c r="A88" s="81" t="s">
        <v>141</v>
      </c>
      <c r="B88" s="80">
        <v>500</v>
      </c>
      <c r="C88" s="12">
        <v>0</v>
      </c>
      <c r="D88" s="30">
        <v>0</v>
      </c>
      <c r="E88" s="60" t="e">
        <f t="shared" si="11"/>
        <v>#DIV/0!</v>
      </c>
      <c r="F88" s="60" t="e">
        <f t="shared" si="1"/>
        <v>#DIV/0!</v>
      </c>
      <c r="G88" s="26"/>
      <c r="H88" s="23"/>
      <c r="I88" s="26"/>
      <c r="J88" s="26"/>
      <c r="K88" s="26"/>
      <c r="L88" s="26"/>
    </row>
    <row r="89" spans="1:12">
      <c r="A89" s="82" t="s">
        <v>0</v>
      </c>
      <c r="B89" s="83">
        <v>0</v>
      </c>
      <c r="C89" s="12">
        <v>0</v>
      </c>
      <c r="D89" s="30">
        <v>0</v>
      </c>
      <c r="E89" s="60" t="e">
        <f t="shared" si="11"/>
        <v>#DIV/0!</v>
      </c>
      <c r="F89" s="60" t="e">
        <f t="shared" si="1"/>
        <v>#DIV/0!</v>
      </c>
      <c r="G89" s="26"/>
      <c r="H89" s="23"/>
      <c r="I89" s="26"/>
      <c r="J89" s="26"/>
      <c r="K89" s="26"/>
      <c r="L89" s="26"/>
    </row>
    <row r="90" spans="1:12">
      <c r="A90" s="44" t="s">
        <v>40</v>
      </c>
      <c r="B90" s="84">
        <f>SUM(B30:B88)-B89</f>
        <v>60770.28</v>
      </c>
      <c r="C90" s="30">
        <v>0</v>
      </c>
      <c r="D90" s="30">
        <v>0</v>
      </c>
      <c r="E90" s="60" t="e">
        <f>SUM(E76:E89)</f>
        <v>#DIV/0!</v>
      </c>
      <c r="F90" s="60" t="e">
        <f t="shared" si="1"/>
        <v>#DIV/0!</v>
      </c>
      <c r="G90" s="26"/>
      <c r="H90" s="23"/>
      <c r="I90" s="26"/>
      <c r="J90" s="26"/>
      <c r="K90" s="26"/>
      <c r="L90" s="26"/>
    </row>
    <row r="91" spans="1:12">
      <c r="A91" s="45" t="s">
        <v>41</v>
      </c>
      <c r="B91" s="46">
        <f>SUM(B25,B27,B90)</f>
        <v>108595.98</v>
      </c>
      <c r="C91" s="30">
        <v>0</v>
      </c>
      <c r="D91" s="30">
        <v>0</v>
      </c>
      <c r="E91" s="60" t="e">
        <f>SUM(E25,E27,E90)</f>
        <v>#DIV/0!</v>
      </c>
      <c r="F91" s="60" t="e">
        <f t="shared" si="1"/>
        <v>#DIV/0!</v>
      </c>
      <c r="G91" s="26"/>
      <c r="H91" s="23"/>
      <c r="I91" s="26"/>
      <c r="J91" s="26"/>
      <c r="K91" s="26"/>
      <c r="L91" s="26"/>
    </row>
  </sheetData>
  <mergeCells count="12">
    <mergeCell ref="D4:D5"/>
    <mergeCell ref="A1:B1"/>
    <mergeCell ref="D10:D11"/>
    <mergeCell ref="D12:D13"/>
    <mergeCell ref="A4:B5"/>
    <mergeCell ref="A10:B11"/>
    <mergeCell ref="A12:B13"/>
    <mergeCell ref="A14:B15"/>
    <mergeCell ref="A6:B9"/>
    <mergeCell ref="C10:C11"/>
    <mergeCell ref="C12:C13"/>
    <mergeCell ref="C4:C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showGridLines="0" tabSelected="1" workbookViewId="0">
      <pane xSplit="1" topLeftCell="B1" activePane="topRight" state="frozen"/>
      <selection pane="topRight" activeCell="C12" sqref="C12"/>
    </sheetView>
  </sheetViews>
  <sheetFormatPr baseColWidth="10" defaultColWidth="11.42578125" defaultRowHeight="15"/>
  <cols>
    <col min="1" max="1" width="77.42578125" customWidth="1"/>
    <col min="2" max="12" width="26.5703125" style="2" customWidth="1"/>
    <col min="13" max="13" width="24.5703125" style="2" customWidth="1"/>
    <col min="14" max="14" width="21" customWidth="1"/>
    <col min="15" max="16" width="22" customWidth="1"/>
    <col min="17" max="17" width="24.85546875" customWidth="1"/>
    <col min="18" max="18" width="27.42578125" customWidth="1"/>
  </cols>
  <sheetData>
    <row r="1" spans="1:18">
      <c r="A1" s="4"/>
      <c r="B1" s="5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Q1" s="28" t="s">
        <v>53</v>
      </c>
      <c r="R1" s="28" t="s">
        <v>54</v>
      </c>
    </row>
    <row r="2" spans="1:18" ht="53.25" customHeight="1">
      <c r="A2" s="19" t="s">
        <v>60</v>
      </c>
      <c r="B2" s="20" t="s">
        <v>76</v>
      </c>
      <c r="C2" s="72" t="s">
        <v>1</v>
      </c>
      <c r="D2" s="66" t="s">
        <v>2</v>
      </c>
      <c r="E2" s="66" t="s">
        <v>2</v>
      </c>
      <c r="F2" s="66" t="s">
        <v>2</v>
      </c>
      <c r="G2" s="66" t="s">
        <v>2</v>
      </c>
      <c r="H2" s="66" t="s">
        <v>2</v>
      </c>
      <c r="I2" s="66" t="s">
        <v>2</v>
      </c>
      <c r="J2" s="66" t="s">
        <v>2</v>
      </c>
      <c r="K2" s="66" t="s">
        <v>2</v>
      </c>
      <c r="L2" s="66" t="s">
        <v>2</v>
      </c>
      <c r="M2" s="66" t="s">
        <v>2</v>
      </c>
      <c r="N2" s="66" t="s">
        <v>2</v>
      </c>
      <c r="O2" s="66" t="s">
        <v>2</v>
      </c>
      <c r="P2" s="66" t="s">
        <v>2</v>
      </c>
      <c r="Q2" s="75" t="s">
        <v>84</v>
      </c>
      <c r="R2" s="75" t="s">
        <v>125</v>
      </c>
    </row>
    <row r="3" spans="1:18">
      <c r="A3" s="62" t="s">
        <v>55</v>
      </c>
      <c r="B3" s="13">
        <v>44949</v>
      </c>
      <c r="C3" s="13">
        <v>44949</v>
      </c>
      <c r="D3" s="13">
        <v>44949</v>
      </c>
      <c r="E3" s="13">
        <v>44949</v>
      </c>
      <c r="F3" s="13">
        <v>44949</v>
      </c>
      <c r="G3" s="13">
        <v>44949</v>
      </c>
      <c r="H3" s="13">
        <v>44949</v>
      </c>
      <c r="I3" s="13">
        <v>44949</v>
      </c>
      <c r="J3" s="13">
        <v>44949</v>
      </c>
      <c r="K3" s="13">
        <v>44949</v>
      </c>
      <c r="L3" s="13">
        <v>44949</v>
      </c>
      <c r="M3" s="13">
        <v>44949</v>
      </c>
      <c r="N3" s="13">
        <v>44949</v>
      </c>
      <c r="O3" s="13">
        <v>44949</v>
      </c>
      <c r="P3" s="13">
        <v>44949</v>
      </c>
      <c r="Q3" s="60">
        <f>B3/B3</f>
        <v>1</v>
      </c>
      <c r="R3" s="60">
        <f>((C3/B3)-1)</f>
        <v>0</v>
      </c>
    </row>
    <row r="4" spans="1:18">
      <c r="A4" s="63" t="s">
        <v>56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2"/>
      <c r="Q4" s="60"/>
      <c r="R4" s="60"/>
    </row>
    <row r="5" spans="1:18">
      <c r="A5" s="62" t="s">
        <v>17</v>
      </c>
      <c r="B5" s="13">
        <v>7502.88</v>
      </c>
      <c r="C5" s="13">
        <v>7502.88</v>
      </c>
      <c r="D5" s="13">
        <v>7502.88</v>
      </c>
      <c r="E5" s="13">
        <v>7502.88</v>
      </c>
      <c r="F5" s="13">
        <v>7502.88</v>
      </c>
      <c r="G5" s="13">
        <v>7502.88</v>
      </c>
      <c r="H5" s="13">
        <v>7502.88</v>
      </c>
      <c r="I5" s="13">
        <v>7502.88</v>
      </c>
      <c r="J5" s="13">
        <v>7502.88</v>
      </c>
      <c r="K5" s="13">
        <v>7502.88</v>
      </c>
      <c r="L5" s="13">
        <v>7502.88</v>
      </c>
      <c r="M5" s="13">
        <v>7502.88</v>
      </c>
      <c r="N5" s="13">
        <v>7502.88</v>
      </c>
      <c r="O5" s="13">
        <v>7502.88</v>
      </c>
      <c r="P5" s="13">
        <v>7502.88</v>
      </c>
      <c r="Q5" s="60">
        <f t="shared" ref="Q5:Q10" si="0">B5/$B$3</f>
        <v>0.16691984248815325</v>
      </c>
      <c r="R5" s="60">
        <f>((C5/B5)-1)</f>
        <v>0</v>
      </c>
    </row>
    <row r="6" spans="1:18">
      <c r="A6" s="62" t="s">
        <v>83</v>
      </c>
      <c r="B6" s="13">
        <f>B36</f>
        <v>30434.22</v>
      </c>
      <c r="C6" s="13">
        <f>B36</f>
        <v>30434.22</v>
      </c>
      <c r="D6" s="13">
        <f>B36</f>
        <v>30434.22</v>
      </c>
      <c r="E6" s="13">
        <f>B36</f>
        <v>30434.22</v>
      </c>
      <c r="F6" s="13">
        <f>B36</f>
        <v>30434.22</v>
      </c>
      <c r="G6" s="13">
        <f>B36</f>
        <v>30434.22</v>
      </c>
      <c r="H6" s="13">
        <f>B36</f>
        <v>30434.22</v>
      </c>
      <c r="I6" s="13">
        <f>B36</f>
        <v>30434.22</v>
      </c>
      <c r="J6" s="13">
        <f>B36</f>
        <v>30434.22</v>
      </c>
      <c r="K6" s="13">
        <f>B36</f>
        <v>30434.22</v>
      </c>
      <c r="L6" s="13">
        <f>B36</f>
        <v>30434.22</v>
      </c>
      <c r="M6" s="13">
        <f>B36</f>
        <v>30434.22</v>
      </c>
      <c r="N6" s="13">
        <f>B36</f>
        <v>30434.22</v>
      </c>
      <c r="O6" s="13">
        <f>B36</f>
        <v>30434.22</v>
      </c>
      <c r="P6" s="12">
        <f>B36</f>
        <v>30434.22</v>
      </c>
      <c r="Q6" s="60">
        <f t="shared" si="0"/>
        <v>0.67708336114262835</v>
      </c>
      <c r="R6" s="60">
        <f>((C6/B6)-1)</f>
        <v>0</v>
      </c>
    </row>
    <row r="7" spans="1:18">
      <c r="A7" s="63" t="s">
        <v>15</v>
      </c>
      <c r="B7" s="13">
        <f>SUM(B5:B6)</f>
        <v>37937.1</v>
      </c>
      <c r="C7" s="13">
        <f>SUM(C5:C6)</f>
        <v>37937.1</v>
      </c>
      <c r="D7" s="13">
        <f t="shared" ref="D7:E7" si="1">SUM(D5:D6)</f>
        <v>37937.1</v>
      </c>
      <c r="E7" s="13">
        <f t="shared" si="1"/>
        <v>37937.1</v>
      </c>
      <c r="F7" s="13">
        <f t="shared" ref="F7:G7" si="2">SUM(F5:F6)</f>
        <v>37937.1</v>
      </c>
      <c r="G7" s="13">
        <f t="shared" si="2"/>
        <v>37937.1</v>
      </c>
      <c r="H7" s="13">
        <f t="shared" ref="H7:J7" si="3">SUM(H5:H6)</f>
        <v>37937.1</v>
      </c>
      <c r="I7" s="13">
        <f t="shared" si="3"/>
        <v>37937.1</v>
      </c>
      <c r="J7" s="13">
        <f t="shared" si="3"/>
        <v>37937.1</v>
      </c>
      <c r="K7" s="13">
        <f t="shared" ref="K7" si="4">SUM(K5:K6)</f>
        <v>37937.1</v>
      </c>
      <c r="L7" s="13">
        <f t="shared" ref="L7" si="5">SUM(L5:L6)</f>
        <v>37937.1</v>
      </c>
      <c r="M7" s="13">
        <f>SUM(M5:M6)</f>
        <v>37937.1</v>
      </c>
      <c r="N7" s="13">
        <f t="shared" ref="N7:O7" si="6">SUM(N5:N6)</f>
        <v>37937.1</v>
      </c>
      <c r="O7" s="13">
        <f t="shared" si="6"/>
        <v>37937.1</v>
      </c>
      <c r="P7" s="13">
        <f>(P5+P6)</f>
        <v>37937.1</v>
      </c>
      <c r="Q7" s="60">
        <f t="shared" si="0"/>
        <v>0.84400320363078152</v>
      </c>
      <c r="R7" s="60">
        <f>((C7/B7)-1)</f>
        <v>0</v>
      </c>
    </row>
    <row r="8" spans="1:18">
      <c r="A8" s="62" t="s">
        <v>16</v>
      </c>
      <c r="B8" s="13">
        <v>0</v>
      </c>
      <c r="C8" s="13">
        <v>7502.88</v>
      </c>
      <c r="D8" s="13">
        <v>7502.88</v>
      </c>
      <c r="E8" s="13">
        <v>7502.88</v>
      </c>
      <c r="F8" s="13">
        <v>7502.88</v>
      </c>
      <c r="G8" s="13">
        <v>7502.88</v>
      </c>
      <c r="H8" s="13">
        <v>7502.88</v>
      </c>
      <c r="I8" s="13">
        <v>7502.88</v>
      </c>
      <c r="J8" s="13">
        <v>7502.88</v>
      </c>
      <c r="K8" s="13">
        <v>7502.88</v>
      </c>
      <c r="L8" s="13">
        <v>7502.88</v>
      </c>
      <c r="M8" s="13">
        <v>7502.88</v>
      </c>
      <c r="N8" s="13">
        <v>7502.88</v>
      </c>
      <c r="O8" s="13">
        <v>7502.88</v>
      </c>
      <c r="P8" s="13">
        <v>7502.88</v>
      </c>
      <c r="Q8" s="60">
        <f t="shared" si="0"/>
        <v>0</v>
      </c>
      <c r="R8" s="60"/>
    </row>
    <row r="9" spans="1:18">
      <c r="A9" s="51" t="s">
        <v>18</v>
      </c>
      <c r="B9" s="14">
        <f>B7-B8</f>
        <v>37937.1</v>
      </c>
      <c r="C9" s="14">
        <f>C7-C8</f>
        <v>30434.219999999998</v>
      </c>
      <c r="D9" s="14">
        <f t="shared" ref="D9:E9" si="7">D7-D8</f>
        <v>30434.219999999998</v>
      </c>
      <c r="E9" s="14">
        <f t="shared" si="7"/>
        <v>30434.219999999998</v>
      </c>
      <c r="F9" s="14">
        <f t="shared" ref="F9:G9" si="8">F7-F8</f>
        <v>30434.219999999998</v>
      </c>
      <c r="G9" s="14">
        <f t="shared" si="8"/>
        <v>30434.219999999998</v>
      </c>
      <c r="H9" s="14">
        <f t="shared" ref="H9:J9" si="9">H7-H8</f>
        <v>30434.219999999998</v>
      </c>
      <c r="I9" s="14">
        <f t="shared" si="9"/>
        <v>30434.219999999998</v>
      </c>
      <c r="J9" s="14">
        <f t="shared" si="9"/>
        <v>30434.219999999998</v>
      </c>
      <c r="K9" s="14">
        <f t="shared" ref="K9" si="10">K7-K8</f>
        <v>30434.219999999998</v>
      </c>
      <c r="L9" s="14">
        <f t="shared" ref="L9" si="11">L7-L8</f>
        <v>30434.219999999998</v>
      </c>
      <c r="M9" s="14">
        <f>M7-M8</f>
        <v>30434.219999999998</v>
      </c>
      <c r="N9" s="14">
        <f t="shared" ref="N9:P9" si="12">N7-N8</f>
        <v>30434.219999999998</v>
      </c>
      <c r="O9" s="14">
        <f t="shared" si="12"/>
        <v>30434.219999999998</v>
      </c>
      <c r="P9" s="14">
        <f t="shared" si="12"/>
        <v>30434.219999999998</v>
      </c>
      <c r="Q9" s="60">
        <f t="shared" si="0"/>
        <v>0.84400320363078152</v>
      </c>
      <c r="R9" s="60">
        <f>((C9/B9)-1)</f>
        <v>-0.19777157452730976</v>
      </c>
    </row>
    <row r="10" spans="1:18">
      <c r="A10" s="47" t="s">
        <v>57</v>
      </c>
      <c r="B10" s="48">
        <f>B3-B9</f>
        <v>7011.9000000000015</v>
      </c>
      <c r="C10" s="48">
        <f>C3-C9</f>
        <v>14514.780000000002</v>
      </c>
      <c r="D10" s="48">
        <f t="shared" ref="D10:E10" si="13">D3-D9</f>
        <v>14514.780000000002</v>
      </c>
      <c r="E10" s="48">
        <f t="shared" si="13"/>
        <v>14514.780000000002</v>
      </c>
      <c r="F10" s="48">
        <f t="shared" ref="F10:G10" si="14">F3-F9</f>
        <v>14514.780000000002</v>
      </c>
      <c r="G10" s="48">
        <f t="shared" si="14"/>
        <v>14514.780000000002</v>
      </c>
      <c r="H10" s="48">
        <f t="shared" ref="H10:J10" si="15">H3-H9</f>
        <v>14514.780000000002</v>
      </c>
      <c r="I10" s="48">
        <f t="shared" si="15"/>
        <v>14514.780000000002</v>
      </c>
      <c r="J10" s="48">
        <f t="shared" si="15"/>
        <v>14514.780000000002</v>
      </c>
      <c r="K10" s="48">
        <f t="shared" ref="K10" si="16">K3-K9</f>
        <v>14514.780000000002</v>
      </c>
      <c r="L10" s="48">
        <f t="shared" ref="L10" si="17">L3-L9</f>
        <v>14514.780000000002</v>
      </c>
      <c r="M10" s="48">
        <f>M3-M9</f>
        <v>14514.780000000002</v>
      </c>
      <c r="N10" s="48">
        <f t="shared" ref="N10:P10" si="18">N3-N9</f>
        <v>14514.780000000002</v>
      </c>
      <c r="O10" s="48">
        <f t="shared" si="18"/>
        <v>14514.780000000002</v>
      </c>
      <c r="P10" s="48">
        <f t="shared" si="18"/>
        <v>14514.780000000002</v>
      </c>
      <c r="Q10" s="60">
        <f t="shared" si="0"/>
        <v>0.15599679636921848</v>
      </c>
      <c r="R10" s="60">
        <f>((C10/B10)-1)</f>
        <v>1.0700209643605869</v>
      </c>
    </row>
    <row r="11" spans="1:18">
      <c r="A11" s="7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71"/>
      <c r="Q11" s="60"/>
      <c r="R11" s="60"/>
    </row>
    <row r="12" spans="1:18">
      <c r="A12" s="62" t="s">
        <v>123</v>
      </c>
      <c r="B12" s="13">
        <v>60770.28</v>
      </c>
      <c r="C12" s="13">
        <v>3506.64</v>
      </c>
      <c r="D12" s="13">
        <v>8132.82</v>
      </c>
      <c r="E12" s="13">
        <v>12759</v>
      </c>
      <c r="F12" s="13">
        <v>17385.18</v>
      </c>
      <c r="G12" s="13">
        <v>22011.360000000001</v>
      </c>
      <c r="H12" s="13">
        <v>26637.54</v>
      </c>
      <c r="I12" s="13">
        <v>31263.72</v>
      </c>
      <c r="J12" s="13">
        <v>35889.9</v>
      </c>
      <c r="K12" s="13">
        <v>40516.080000000002</v>
      </c>
      <c r="L12" s="13">
        <v>45142.26</v>
      </c>
      <c r="M12" s="13">
        <v>49768.44</v>
      </c>
      <c r="N12" s="13">
        <v>54394.62</v>
      </c>
      <c r="O12" s="13">
        <v>59020.800000000003</v>
      </c>
      <c r="P12" s="12">
        <v>63646.98</v>
      </c>
      <c r="Q12" s="60">
        <f>B12/$B$3</f>
        <v>1.351982913969165</v>
      </c>
      <c r="R12" s="60">
        <f>((C12/B12)+1)</f>
        <v>1.0577032062383125</v>
      </c>
    </row>
    <row r="13" spans="1:18">
      <c r="A13" s="62" t="s">
        <v>58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60">
        <f>B13/$B$3</f>
        <v>0</v>
      </c>
      <c r="R13" s="60"/>
    </row>
    <row r="14" spans="1:18">
      <c r="A14" s="64" t="s">
        <v>122</v>
      </c>
      <c r="B14" s="13">
        <v>9888.6</v>
      </c>
      <c r="C14" s="13">
        <v>9888.6</v>
      </c>
      <c r="D14" s="13">
        <v>9888.6</v>
      </c>
      <c r="E14" s="13">
        <v>9888.6</v>
      </c>
      <c r="F14" s="13">
        <v>9888.6</v>
      </c>
      <c r="G14" s="13">
        <v>9888.6</v>
      </c>
      <c r="H14" s="13">
        <v>9888.6</v>
      </c>
      <c r="I14" s="13">
        <v>9888.6</v>
      </c>
      <c r="J14" s="13">
        <v>9888.6</v>
      </c>
      <c r="K14" s="13">
        <v>9888.6</v>
      </c>
      <c r="L14" s="13">
        <v>9888.6</v>
      </c>
      <c r="M14" s="13">
        <v>9888.6</v>
      </c>
      <c r="N14" s="13">
        <v>9888.6</v>
      </c>
      <c r="O14" s="13">
        <v>9888.6</v>
      </c>
      <c r="P14" s="12">
        <v>9888.6</v>
      </c>
      <c r="Q14" s="60">
        <f>B14/$B$3</f>
        <v>0.21999599546152307</v>
      </c>
      <c r="R14" s="60">
        <f>((C14/B14)+1)</f>
        <v>2</v>
      </c>
    </row>
    <row r="15" spans="1:18">
      <c r="A15" s="51" t="s">
        <v>5</v>
      </c>
      <c r="B15" s="14">
        <f>SUM(B12:B14)</f>
        <v>70658.880000000005</v>
      </c>
      <c r="C15" s="14">
        <f>SUM(C12:C14)</f>
        <v>13395.24</v>
      </c>
      <c r="D15" s="14">
        <f t="shared" ref="D15:E15" si="19">SUM(D12:D14)</f>
        <v>18021.419999999998</v>
      </c>
      <c r="E15" s="14">
        <f t="shared" si="19"/>
        <v>22647.599999999999</v>
      </c>
      <c r="F15" s="14">
        <f t="shared" ref="F15:G15" si="20">SUM(F12:F14)</f>
        <v>27273.78</v>
      </c>
      <c r="G15" s="14">
        <f t="shared" si="20"/>
        <v>31899.96</v>
      </c>
      <c r="H15" s="14">
        <f t="shared" ref="H15:J15" si="21">SUM(H12:H14)</f>
        <v>36526.14</v>
      </c>
      <c r="I15" s="14">
        <f t="shared" si="21"/>
        <v>41152.32</v>
      </c>
      <c r="J15" s="14">
        <f t="shared" si="21"/>
        <v>45778.5</v>
      </c>
      <c r="K15" s="14">
        <f t="shared" ref="K15" si="22">SUM(K12:K14)</f>
        <v>50404.68</v>
      </c>
      <c r="L15" s="14">
        <f t="shared" ref="L15" si="23">SUM(L12:L14)</f>
        <v>55030.86</v>
      </c>
      <c r="M15" s="14">
        <f>SUM(M12:M14)</f>
        <v>59657.04</v>
      </c>
      <c r="N15" s="14">
        <f t="shared" ref="N15:P15" si="24">SUM(N12:N14)</f>
        <v>64283.22</v>
      </c>
      <c r="O15" s="14">
        <f t="shared" si="24"/>
        <v>68909.400000000009</v>
      </c>
      <c r="P15" s="14">
        <f t="shared" si="24"/>
        <v>73535.58</v>
      </c>
      <c r="Q15" s="60">
        <f>B15/$B$3</f>
        <v>1.5719789094306882</v>
      </c>
      <c r="R15" s="60">
        <f>((C15/B15)+1)</f>
        <v>1.1895761721668954</v>
      </c>
    </row>
    <row r="16" spans="1:18">
      <c r="A16" s="49" t="s">
        <v>59</v>
      </c>
      <c r="B16" s="50">
        <f>B10-B15</f>
        <v>-63646.98</v>
      </c>
      <c r="C16" s="50">
        <f t="shared" ref="C16:P16" si="25">C10-C15</f>
        <v>1119.5400000000027</v>
      </c>
      <c r="D16" s="50">
        <f t="shared" si="25"/>
        <v>-3506.6399999999958</v>
      </c>
      <c r="E16" s="50">
        <f t="shared" si="25"/>
        <v>-8132.8199999999961</v>
      </c>
      <c r="F16" s="50">
        <f t="shared" si="25"/>
        <v>-12758.999999999996</v>
      </c>
      <c r="G16" s="50">
        <f t="shared" si="25"/>
        <v>-17385.179999999997</v>
      </c>
      <c r="H16" s="50">
        <f t="shared" si="25"/>
        <v>-22011.359999999997</v>
      </c>
      <c r="I16" s="50">
        <f t="shared" si="25"/>
        <v>-26637.539999999997</v>
      </c>
      <c r="J16" s="50">
        <f t="shared" si="25"/>
        <v>-31263.719999999998</v>
      </c>
      <c r="K16" s="50">
        <f t="shared" si="25"/>
        <v>-35889.899999999994</v>
      </c>
      <c r="L16" s="50">
        <f t="shared" si="25"/>
        <v>-40516.080000000002</v>
      </c>
      <c r="M16" s="50">
        <f t="shared" si="25"/>
        <v>-45142.259999999995</v>
      </c>
      <c r="N16" s="50">
        <f t="shared" si="25"/>
        <v>-49768.44</v>
      </c>
      <c r="O16" s="50">
        <f t="shared" si="25"/>
        <v>-54394.62000000001</v>
      </c>
      <c r="P16" s="50">
        <f t="shared" si="25"/>
        <v>-59020.800000000003</v>
      </c>
      <c r="Q16" s="60">
        <f>B16/$B$3</f>
        <v>-1.4159821130614698</v>
      </c>
      <c r="R16" s="60">
        <f>((C16/B16)+1)</f>
        <v>0.98241016305879714</v>
      </c>
    </row>
    <row r="17" spans="1:18">
      <c r="A17" s="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71"/>
      <c r="Q17" s="60"/>
      <c r="R17" s="60"/>
    </row>
    <row r="18" spans="1:18">
      <c r="A18" s="62" t="s">
        <v>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60">
        <f>B18/$B$3</f>
        <v>0</v>
      </c>
      <c r="R18" s="60"/>
    </row>
    <row r="19" spans="1:18">
      <c r="A19" s="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71"/>
      <c r="Q19" s="60"/>
      <c r="R19" s="60"/>
    </row>
    <row r="20" spans="1:18">
      <c r="A20" s="17" t="s">
        <v>61</v>
      </c>
      <c r="B20" s="18">
        <f>B16-B18</f>
        <v>-63646.98</v>
      </c>
      <c r="C20" s="18">
        <f>C16-C18</f>
        <v>1119.5400000000027</v>
      </c>
      <c r="D20" s="18">
        <f t="shared" ref="D20:E20" si="26">D16-D18</f>
        <v>-3506.6399999999958</v>
      </c>
      <c r="E20" s="18">
        <f t="shared" si="26"/>
        <v>-8132.8199999999961</v>
      </c>
      <c r="F20" s="18">
        <f t="shared" ref="F20:G20" si="27">F16-F18</f>
        <v>-12758.999999999996</v>
      </c>
      <c r="G20" s="18">
        <f t="shared" si="27"/>
        <v>-17385.179999999997</v>
      </c>
      <c r="H20" s="18">
        <f t="shared" ref="H20:L20" si="28">H16-H18</f>
        <v>-22011.359999999997</v>
      </c>
      <c r="I20" s="18">
        <f t="shared" si="28"/>
        <v>-26637.539999999997</v>
      </c>
      <c r="J20" s="18">
        <f t="shared" si="28"/>
        <v>-31263.719999999998</v>
      </c>
      <c r="K20" s="18">
        <f t="shared" si="28"/>
        <v>-35889.899999999994</v>
      </c>
      <c r="L20" s="18">
        <f t="shared" si="28"/>
        <v>-40516.080000000002</v>
      </c>
      <c r="M20" s="18">
        <f>M16-M18</f>
        <v>-45142.259999999995</v>
      </c>
      <c r="N20" s="18">
        <f t="shared" ref="N20:P20" si="29">N16-N18</f>
        <v>-49768.44</v>
      </c>
      <c r="O20" s="18">
        <f t="shared" si="29"/>
        <v>-54394.62000000001</v>
      </c>
      <c r="P20" s="18">
        <f t="shared" si="29"/>
        <v>-59020.800000000003</v>
      </c>
      <c r="Q20" s="60">
        <f>B20/$B$3</f>
        <v>-1.4159821130614698</v>
      </c>
      <c r="R20" s="60">
        <f>((C20/B20)+1)</f>
        <v>0.98241016305879714</v>
      </c>
    </row>
    <row r="21" spans="1:18">
      <c r="A21" s="4"/>
      <c r="B21" s="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8">
      <c r="A22" s="16" t="s">
        <v>19</v>
      </c>
      <c r="B22" s="15" t="s">
        <v>11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</row>
    <row r="23" spans="1:18">
      <c r="A23" s="6" t="s">
        <v>29</v>
      </c>
      <c r="B23" s="1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</row>
    <row r="24" spans="1:18">
      <c r="A24" s="7" t="s">
        <v>20</v>
      </c>
      <c r="B24" s="12">
        <v>0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</row>
    <row r="25" spans="1:18">
      <c r="A25" s="7" t="s">
        <v>124</v>
      </c>
      <c r="B25" s="13">
        <v>27434.22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  <row r="26" spans="1:18">
      <c r="A26" s="7" t="s">
        <v>21</v>
      </c>
      <c r="B26" s="13">
        <f>SUM(B24:B25)</f>
        <v>27434.22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</row>
    <row r="27" spans="1:18">
      <c r="A27" s="8" t="s">
        <v>22</v>
      </c>
      <c r="B27" s="14">
        <v>0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</row>
    <row r="28" spans="1:18">
      <c r="A28" s="9" t="s">
        <v>23</v>
      </c>
      <c r="B28" s="13">
        <f>B26-B27</f>
        <v>27434.22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2"/>
    </row>
    <row r="29" spans="1:18">
      <c r="A29" s="7" t="s">
        <v>24</v>
      </c>
      <c r="B29" s="13">
        <v>0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8">
      <c r="A30" s="6" t="s">
        <v>25</v>
      </c>
      <c r="B30" s="13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</row>
    <row r="31" spans="1:18">
      <c r="A31" s="7" t="s">
        <v>30</v>
      </c>
      <c r="B31" s="13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</row>
    <row r="32" spans="1:18">
      <c r="A32" s="7" t="s">
        <v>26</v>
      </c>
      <c r="B32" s="13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</row>
    <row r="33" spans="1:13">
      <c r="A33" s="7" t="s">
        <v>82</v>
      </c>
      <c r="B33" s="13">
        <v>3000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</row>
    <row r="34" spans="1:13">
      <c r="A34" s="8" t="s">
        <v>27</v>
      </c>
      <c r="B34" s="13">
        <v>0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</row>
    <row r="35" spans="1:13">
      <c r="A35" s="10" t="s">
        <v>28</v>
      </c>
      <c r="B35" s="13">
        <f>SUM(B31:B34)</f>
        <v>3000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</row>
    <row r="36" spans="1:13">
      <c r="A36" s="21" t="s">
        <v>14</v>
      </c>
      <c r="B36" s="22">
        <f>SUM(B28,B29,B35)</f>
        <v>30434.22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General</vt:lpstr>
      <vt:lpstr>Estado de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Gallegos Contreras</dc:creator>
  <cp:lastModifiedBy>Raul</cp:lastModifiedBy>
  <dcterms:created xsi:type="dcterms:W3CDTF">2020-06-11T06:23:26Z</dcterms:created>
  <dcterms:modified xsi:type="dcterms:W3CDTF">2026-02-07T21:12:44Z</dcterms:modified>
</cp:coreProperties>
</file>